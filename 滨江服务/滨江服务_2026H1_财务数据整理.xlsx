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fffa8bf3f49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摘要" sheetId="1" r:id="R8cbf73133d1c4b01"/>
    <x:sheet xmlns:r="http://schemas.openxmlformats.org/officeDocument/2006/relationships" name="01_利润表" sheetId="2" r:id="R29c7e4e0e5c24e9d"/>
    <x:sheet xmlns:r="http://schemas.openxmlformats.org/officeDocument/2006/relationships" name="02_资产负债表" sheetId="3" r:id="R8ce88f52da2c4226"/>
    <x:sheet xmlns:r="http://schemas.openxmlformats.org/officeDocument/2006/relationships" name="03_全面收益" sheetId="4" r:id="R34b191191b2f410e"/>
    <x:sheet xmlns:r="http://schemas.openxmlformats.org/officeDocument/2006/relationships" name="04_收入拆分" sheetId="5" r:id="Rc55c4ef880bd49e5"/>
    <x:sheet xmlns:r="http://schemas.openxmlformats.org/officeDocument/2006/relationships" name="05_经营指标" sheetId="6" r:id="R1ae111cd6c2a4ca5"/>
    <x:sheet xmlns:r="http://schemas.openxmlformats.org/officeDocument/2006/relationships" name="06_营运资本" sheetId="7" r:id="R286869aca8d248f3"/>
    <x:sheet xmlns:r="http://schemas.openxmlformats.org/officeDocument/2006/relationships" name="07_财务附注" sheetId="8" r:id="R482730fbf7984eab"/>
    <x:sheet xmlns:r="http://schemas.openxmlformats.org/officeDocument/2006/relationships" name="08_校验" sheetId="9" r:id="Rbba490718ef64106"/>
    <x:sheet xmlns:r="http://schemas.openxmlformats.org/officeDocument/2006/relationships" name="09_来源口径" sheetId="10" r:id="R473caf83f93244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0.0%;[Red](0.0%);-"/>
    <x:numFmt numFmtId="202" formatCode="#,##0.0;[Red](#,##0.0);-"/>
    <x:numFmt numFmtId="203" formatCode="0.00"/>
    <x:numFmt numFmtId="204" formatCode="0.00x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b/>
      <x:sz val="11"/>
      <x:color rgb="FF17365D"/>
      <x:name val="Carlito"/>
    </x:font>
    <x:font>
      <x:i/>
      <x:sz val="9"/>
      <x:color rgb="FF666666"/>
      <x:name val="Carlito"/>
    </x:font>
    <x:font>
      <x:b/>
      <x:sz val="11"/>
      <x:name val="Carlito"/>
    </x:font>
    <x:font>
      <x:b/>
      <x:i/>
      <x:sz val="9"/>
      <x:color rgb="FF666666"/>
      <x:name val="Carlito"/>
    </x:font>
    <x:font>
      <x:b/>
      <x:i/>
      <x:sz val="9"/>
      <x:color rgb="FF17365D"/>
      <x:name val="Carlito"/>
    </x:font>
    <x:font>
      <x:b/>
      <x:sz val="11"/>
      <x:color rgb="FFFFFFFF"/>
      <x:name val="Carlito"/>
    </x:font>
    <x:font>
      <x:sz val="11"/>
      <x:color rgb="FF666666"/>
      <x:name val="Carlito"/>
    </x:font>
    <x:font>
      <x:sz val="11"/>
      <x:color rgb="FF008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3">
    <x:border/>
    <x:border>
      <x:bottom style="thin">
        <x:color rgb="FFA6A6A6"/>
      </x:bottom>
    </x:border>
    <x:border>
      <x:top style="thin">
        <x:color rgb="FF7F7F7F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5" fillId="5" borderId="2" xfId="0" applyNumberFormat="1" applyFont="1" applyFill="1" applyBorder="1"/>
    <x:xf numFmtId="200" fontId="5" fillId="5" borderId="2" xfId="0" applyNumberFormat="1" applyFont="1" applyFill="1" applyBorder="1"/>
    <x:xf numFmtId="201" fontId="5" fillId="5" borderId="2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201" fontId="3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5" borderId="0" xfId="0" applyNumberFormat="1" applyFont="1" applyFill="1" applyBorder="1"/>
    <x:xf numFmtId="202" fontId="5" fillId="5" borderId="0" xfId="0" applyNumberFormat="1" applyFont="1" applyFill="1" applyBorder="1"/>
    <x:xf numFmtId="202" fontId="5" fillId="5" borderId="2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10" fillId="0" borderId="0" xfId="0" applyNumberFormat="1" applyFont="1" applyFill="1" applyBorder="1"/>
    <x:xf numFmtId="201" fontId="10" fillId="0" borderId="0" xfId="0" applyNumberFormat="1" applyFont="1" applyFill="1" applyBorder="1"/>
    <x:xf numFmtId="203" fontId="10" fillId="0" borderId="0" xfId="0" applyNumberFormat="1" applyFont="1" applyFill="1" applyBorder="1"/>
    <x:xf numFmtId="204" fontId="10" fillId="0" borderId="0" xfId="0" applyNumberFormat="1" applyFont="1" applyFill="1" applyBorder="1"/>
    <x:xf numFmtId="202" fontId="1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f9a746b0a49ce" /><Relationship Type="http://schemas.openxmlformats.org/officeDocument/2006/relationships/theme" Target="/xl/theme/theme1.xml" Id="Rbd303b8edcdc495c" /><Relationship Type="http://schemas.openxmlformats.org/officeDocument/2006/relationships/sharedStrings" Target="/xl/sharedStrings.xml" Id="Red249634b91f424e" /><Relationship Type="http://schemas.openxmlformats.org/officeDocument/2006/relationships/worksheet" Target="/xl/worksheets/sheet1.xml" Id="R8cbf73133d1c4b01" /><Relationship Type="http://schemas.openxmlformats.org/officeDocument/2006/relationships/worksheet" Target="/xl/worksheets/sheet2.xml" Id="R29c7e4e0e5c24e9d" /><Relationship Type="http://schemas.openxmlformats.org/officeDocument/2006/relationships/worksheet" Target="/xl/worksheets/sheet3.xml" Id="R8ce88f52da2c4226" /><Relationship Type="http://schemas.openxmlformats.org/officeDocument/2006/relationships/worksheet" Target="/xl/worksheets/sheet4.xml" Id="R34b191191b2f410e" /><Relationship Type="http://schemas.openxmlformats.org/officeDocument/2006/relationships/worksheet" Target="/xl/worksheets/sheet5.xml" Id="Rc55c4ef880bd49e5" /><Relationship Type="http://schemas.openxmlformats.org/officeDocument/2006/relationships/worksheet" Target="/xl/worksheets/sheet6.xml" Id="R1ae111cd6c2a4ca5" /><Relationship Type="http://schemas.openxmlformats.org/officeDocument/2006/relationships/worksheet" Target="/xl/worksheets/sheet7.xml" Id="R286869aca8d248f3" /><Relationship Type="http://schemas.openxmlformats.org/officeDocument/2006/relationships/worksheet" Target="/xl/worksheets/sheet8.xml" Id="R482730fbf7984eab" /><Relationship Type="http://schemas.openxmlformats.org/officeDocument/2006/relationships/worksheet" Target="/xl/worksheets/sheet9.xml" Id="Rbba490718ef64106" /><Relationship Type="http://schemas.openxmlformats.org/officeDocument/2006/relationships/worksheet" Target="/xl/worksheets/sheet10.xml" Id="R473caf83f93244cc" /><Relationship Type="http://schemas.microsoft.com/office/2017/10/relationships/person" Target="/xl/persons/person.xml" Id="R2902dea5c54142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445f2100ac488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分业务收入对比（人民币千元）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2026H1</c:v>
          </c:tx>
          <c:cat>
            <c:strRef>
              <c:f>'00_摘要'!$A$22:$A$24</c:f>
              <c:strCache>
                <c:ptCount val="0"/>
              </c:strCache>
            </c:strRef>
          </c:cat>
          <c:val>
            <c:numRef>
              <c:f>'00_摘要'!$B$22:$B$24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2025H1</c:v>
          </c:tx>
          <c:cat>
            <c:strRef>
              <c:f>'00_摘要'!$A$22:$A$24</c:f>
              <c:strCache>
                <c:ptCount val="0"/>
              </c:strCache>
            </c:strRef>
          </c:cat>
          <c:val>
            <c:numRef>
              <c:f>'00_摘要'!$C$22:$C$24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20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445f2100ac488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1BD6E282-93DB-4F53-A206-D6DA79A4C6B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627f0637a8349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8" hidden="0" customWidth="1"/>
    <x:col min="7" max="7" width="14" hidden="0" customWidth="1"/>
    <x:col min="8" max="8" width="34" hidden="0" customWidth="1"/>
  </x:cols>
  <x:sheetData>
    <x:row r="1" ht="30" customHeight="1">
      <x:c r="A1" s="3" t="str">
        <x:v>滨江服务2026年上半年财务数据整理</x:v>
      </x:c>
      <x:c r="B1" s="3" t="str">
        <x:v>滨江服务2026年上半年财务数据整理</x:v>
      </x:c>
      <x:c r="C1" s="3" t="str">
        <x:v>滨江服务2026年上半年财务数据整理</x:v>
      </x:c>
      <x:c r="D1" s="3" t="str">
        <x:v>滨江服务2026年上半年财务数据整理</x:v>
      </x:c>
      <x:c r="E1" s="3" t="str">
        <x:v>滨江服务2026年上半年财务数据整理</x:v>
      </x:c>
      <x:c r="F1" s="3" t="str">
        <x:v>滨江服务2026年上半年财务数据整理</x:v>
      </x:c>
      <x:c r="G1" s="3" t="str">
        <x:v>滨江服务2026年上半年财务数据整理</x:v>
      </x:c>
      <x:c r="H1" s="3" t="str">
        <x:v>滨江服务2026年上半年财务数据整理</x:v>
      </x:c>
    </x:row>
    <x:row r="2" ht="26" customHeight="1">
      <x:c r="A2" s="6" t="str">
        <x:v>截至2026年6月30日止六个月 | 未经审计 | 币种：人民币 | 报告金额默认人民币千元</x:v>
      </x:c>
      <x:c r="B2" s="6" t="str">
        <x:v>截至2026年6月30日止六个月 | 未经审计 | 币种：人民币 | 报告金额默认人民币千元</x:v>
      </x:c>
      <x:c r="C2" s="6" t="str">
        <x:v>截至2026年6月30日止六个月 | 未经审计 | 币种：人民币 | 报告金额默认人民币千元</x:v>
      </x:c>
      <x:c r="D2" s="6" t="str">
        <x:v>截至2026年6月30日止六个月 | 未经审计 | 币种：人民币 | 报告金额默认人民币千元</x:v>
      </x:c>
      <x:c r="E2" s="6" t="str">
        <x:v>截至2026年6月30日止六个月 | 未经审计 | 币种：人民币 | 报告金额默认人民币千元</x:v>
      </x:c>
      <x:c r="F2" s="6" t="str">
        <x:v>截至2026年6月30日止六个月 | 未经审计 | 币种：人民币 | 报告金额默认人民币千元</x:v>
      </x:c>
      <x:c r="G2" s="6" t="str">
        <x:v>截至2026年6月30日止六个月 | 未经审计 | 币种：人民币 | 报告金额默认人民币千元</x:v>
      </x:c>
      <x:c r="H2" s="6" t="str">
        <x:v>截至2026年6月30日止六个月 | 未经审计 | 币种：人民币 | 报告金额默认人民币千元</x:v>
      </x:c>
    </x:row>
    <x:row r="4">
      <x:c r="A4" s="42" t="str">
        <x:v>工作簿状态</x:v>
      </x:c>
      <x:c r="B4" s="42" t="str">
        <x:v>PASS（见08_校验）</x:v>
      </x:c>
      <x:c r="D4" s="45" t="str">
        <x:v>利润表同比2025H1；资产负债表对2025年末。报告摘要中的应收款同比口径与资产负债表期初口径不同，分别保留并注明。</x:v>
      </x:c>
      <x:c r="E4" s="45" t="str">
        <x:v>利润表同比2025H1；资产负债表对2025年末。报告摘要中的应收款同比口径与资产负债表期初口径不同，分别保留并注明。</x:v>
      </x:c>
      <x:c r="F4" s="45" t="str">
        <x:v>利润表同比2025H1；资产负债表对2025年末。报告摘要中的应收款同比口径与资产负债表期初口径不同，分别保留并注明。</x:v>
      </x:c>
      <x:c r="G4" s="45" t="str">
        <x:v>利润表同比2025H1；资产负债表对2025年末。报告摘要中的应收款同比口径与资产负债表期初口径不同，分别保留并注明。</x:v>
      </x:c>
      <x:c r="H4" s="45" t="str">
        <x:v>利润表同比2025H1；资产负债表对2025年末。报告摘要中的应收款同比口径与资产负债表期初口径不同，分别保留并注明。</x:v>
      </x:c>
    </x:row>
    <x:row r="6" ht="22" customHeight="1">
      <x:c r="A6" s="36" t="str">
        <x:v>核心财务指标</x:v>
      </x:c>
      <x:c r="B6" s="36" t="str">
        <x:v>核心财务指标</x:v>
      </x:c>
      <x:c r="C6" s="36" t="str">
        <x:v>核心财务指标</x:v>
      </x:c>
      <x:c r="D6" s="36" t="str">
        <x:v>核心财务指标</x:v>
      </x:c>
      <x:c r="E6" s="36" t="str">
        <x:v>核心财务指标</x:v>
      </x:c>
      <x:c r="F6" s="36" t="str">
        <x:v>核心财务指标</x:v>
      </x:c>
      <x:c r="G6" s="36" t="str">
        <x:v>核心财务指标</x:v>
      </x:c>
      <x:c r="H6" s="36" t="str">
        <x:v>核心财务指标</x:v>
      </x:c>
    </x:row>
    <x:row r="7" ht="28" customHeight="1">
      <x:c r="A7" s="11" t="str">
        <x:v>指标</x:v>
      </x:c>
      <x:c r="B7" s="11" t="str">
        <x:v>2026H1/期末</x:v>
      </x:c>
      <x:c r="C7" s="11" t="str">
        <x:v>2025H1/期初</x:v>
      </x:c>
      <x:c r="D7" s="11" t="str">
        <x:v>变动额</x:v>
      </x:c>
      <x:c r="E7" s="11" t="str">
        <x:v>变动率</x:v>
      </x:c>
      <x:c r="F7" s="11" t="str">
        <x:v>单位</x:v>
      </x:c>
      <x:c r="G7" s="11" t="str">
        <x:v>来源</x:v>
      </x:c>
      <x:c r="H7" s="11" t="str">
        <x:v>备注</x:v>
      </x:c>
    </x:row>
    <x:row r="8">
      <x:c r="A8" t="str">
        <x:v>营业收入</x:v>
      </x:c>
      <x:c r="B8" s="48" t="n">
        <x:f>'01_利润表'!B7</x:f>
        <x:v>2298391</x:v>
      </x:c>
      <x:c r="C8" s="48" t="n">
        <x:f>'01_利润表'!C7</x:f>
        <x:v>2025041</x:v>
      </x:c>
      <x:c r="D8" s="48" t="n">
        <x:f>B8-C8</x:f>
        <x:v>273350</x:v>
      </x:c>
      <x:c r="E8" s="49" t="n">
        <x:f>IFERROR(B8/C8-1,"")</x:f>
        <x:v>0.1349849212929517</x:v>
      </x:c>
      <x:c r="F8" t="str">
        <x:v>人民币千元</x:v>
      </x:c>
      <x:c r="G8" t="str">
        <x:v>PDF p3</x:v>
      </x:c>
      <x:c r="H8" t="str"/>
    </x:row>
    <x:row r="9">
      <x:c r="A9" t="str">
        <x:v>毛利</x:v>
      </x:c>
      <x:c r="B9" s="48" t="n">
        <x:f>'01_利润表'!B9</x:f>
        <x:v>477268</x:v>
      </x:c>
      <x:c r="C9" s="48" t="n">
        <x:f>'01_利润表'!C9</x:f>
        <x:v>455076</x:v>
      </x:c>
      <x:c r="D9" s="48" t="n">
        <x:f>B9-C9</x:f>
        <x:v>22192</x:v>
      </x:c>
      <x:c r="E9" s="49" t="n">
        <x:f>IFERROR(B9/C9-1,"")</x:f>
        <x:v>0.04876548093065769</x:v>
      </x:c>
      <x:c r="F9" t="str">
        <x:v>人民币千元</x:v>
      </x:c>
      <x:c r="G9" t="str">
        <x:v>PDF p3</x:v>
      </x:c>
      <x:c r="H9" t="str"/>
    </x:row>
    <x:row r="10">
      <x:c r="A10" t="str">
        <x:v>毛利率</x:v>
      </x:c>
      <x:c r="B10" s="49" t="n">
        <x:f>'01_利润表'!B9/'01_利润表'!B7</x:f>
        <x:v>0.2076530929680807</x:v>
      </x:c>
      <x:c r="C10" s="49" t="n">
        <x:f>'01_利润表'!C9/'01_利润表'!C7</x:f>
        <x:v>0.22472433891461951</x:v>
      </x:c>
      <x:c r="D10" s="49" t="n">
        <x:f>B10-C10</x:f>
        <x:v>-0.017071245946538804</x:v>
      </x:c>
      <x:c r="E10" s="49" t="n">
        <x:f>IFERROR(B10/C10-1,"")</x:f>
        <x:v>-0.07596527385057639</x:v>
      </x:c>
      <x:c r="F10" t="str">
        <x:v>%</x:v>
      </x:c>
      <x:c r="G10" t="str">
        <x:v>计算</x:v>
      </x:c>
      <x:c r="H10" t="str">
        <x:v>毛利/收入</x:v>
      </x:c>
    </x:row>
    <x:row r="11">
      <x:c r="A11" t="str">
        <x:v>期内利润</x:v>
      </x:c>
      <x:c r="B11" s="48" t="n">
        <x:f>'01_利润表'!B24</x:f>
        <x:v>322066</x:v>
      </x:c>
      <x:c r="C11" s="48" t="n">
        <x:f>'01_利润表'!C24</x:f>
        <x:v>305562</x:v>
      </x:c>
      <x:c r="D11" s="48" t="n">
        <x:f>B11-C11</x:f>
        <x:v>16504</x:v>
      </x:c>
      <x:c r="E11" s="49" t="n">
        <x:f>IFERROR(B11/C11-1,"")</x:f>
        <x:v>0.05401195174792672</x:v>
      </x:c>
      <x:c r="F11" t="str">
        <x:v>人民币千元</x:v>
      </x:c>
      <x:c r="G11" t="str">
        <x:v>PDF p3</x:v>
      </x:c>
      <x:c r="H11" t="str"/>
    </x:row>
    <x:row r="12">
      <x:c r="A12" t="str">
        <x:v>归母净利润</x:v>
      </x:c>
      <x:c r="B12" s="48" t="n">
        <x:f>'01_利润表'!B25</x:f>
        <x:v>315003</x:v>
      </x:c>
      <x:c r="C12" s="48" t="n">
        <x:f>'01_利润表'!C25</x:f>
        <x:v>297707</x:v>
      </x:c>
      <x:c r="D12" s="48" t="n">
        <x:f>B12-C12</x:f>
        <x:v>17296</x:v>
      </x:c>
      <x:c r="E12" s="49" t="n">
        <x:f>IFERROR(B12/C12-1,"")</x:f>
        <x:v>0.05809739105899414</x:v>
      </x:c>
      <x:c r="F12" t="str">
        <x:v>人民币千元</x:v>
      </x:c>
      <x:c r="G12" t="str">
        <x:v>PDF p3</x:v>
      </x:c>
      <x:c r="H12" t="str"/>
    </x:row>
    <x:row r="13">
      <x:c r="A13" t="str">
        <x:v>每股基本盈利</x:v>
      </x:c>
      <x:c r="B13" s="50" t="n">
        <x:f>'01_利润表'!B28</x:f>
        <x:v>1.14</x:v>
      </x:c>
      <x:c r="C13" s="50" t="n">
        <x:f>'01_利润表'!C28</x:f>
        <x:v>1.08</x:v>
      </x:c>
      <x:c r="D13" s="50" t="n">
        <x:f>B13-C13</x:f>
        <x:v>0.05999999999999983</x:v>
      </x:c>
      <x:c r="E13" s="50" t="n">
        <x:f>IFERROR(B13/C13-1,"")</x:f>
        <x:v>0.05555555555555536</x:v>
      </x:c>
      <x:c r="F13" t="str">
        <x:v>人民币元/股</x:v>
      </x:c>
      <x:c r="G13" t="str">
        <x:v>PDF p4</x:v>
      </x:c>
      <x:c r="H13" t="str"/>
    </x:row>
    <x:row r="14">
      <x:c r="A14" t="str">
        <x:v>现金及银行结余</x:v>
      </x:c>
      <x:c r="B14" s="48" t="n">
        <x:f>'02_资产负债表'!B22</x:f>
        <x:v>750766</x:v>
      </x:c>
      <x:c r="C14" s="48" t="n">
        <x:f>'02_资产负债表'!C22</x:f>
        <x:v>890521</x:v>
      </x:c>
      <x:c r="D14" s="48" t="n">
        <x:f>B14-C14</x:f>
        <x:v>-139755</x:v>
      </x:c>
      <x:c r="E14" s="49" t="n">
        <x:f>IFERROR(B14/C14-1,"")</x:f>
        <x:v>-0.15693622048216715</x:v>
      </x:c>
      <x:c r="F14" t="str">
        <x:v>人民币千元</x:v>
      </x:c>
      <x:c r="G14" t="str">
        <x:v>PDF p5-6</x:v>
      </x:c>
      <x:c r="H14" t="str">
        <x:v>期末对2025年末</x:v>
      </x:c>
    </x:row>
    <x:row r="15">
      <x:c r="A15" t="str">
        <x:v>贸易应收款项净额</x:v>
      </x:c>
      <x:c r="B15" s="48" t="n">
        <x:f>'06_营运资本'!B11</x:f>
        <x:v>731022</x:v>
      </x:c>
      <x:c r="C15" s="48" t="n">
        <x:f>'06_营运资本'!C11</x:f>
        <x:v>405757</x:v>
      </x:c>
      <x:c r="D15" s="48" t="n">
        <x:f>B15-C15</x:f>
        <x:v>325265</x:v>
      </x:c>
      <x:c r="E15" s="49" t="n">
        <x:f>IFERROR(B15/C15-1,"")</x:f>
        <x:v>0.8016251105957506</x:v>
      </x:c>
      <x:c r="F15" t="str">
        <x:v>人民币千元</x:v>
      </x:c>
      <x:c r="G15" t="str">
        <x:v>PDF p15</x:v>
      </x:c>
      <x:c r="H15" t="str">
        <x:v>期末对2025年末</x:v>
      </x:c>
    </x:row>
    <x:row r="16">
      <x:c r="A16" t="str">
        <x:v>流动比率</x:v>
      </x:c>
      <x:c r="B16" s="51" t="n">
        <x:f>'02_资产负债表'!B23/'02_资产负债表'!B32</x:f>
        <x:v>1.3807195181946985</x:v>
      </x:c>
      <x:c r="C16" s="51" t="n">
        <x:f>'02_资产负债表'!C23/'02_资产负债表'!C32</x:f>
        <x:v>1.4946876997883358</x:v>
      </x:c>
      <x:c r="D16" s="51" t="n">
        <x:f>B16-C16</x:f>
        <x:v>-0.11396818159363731</x:v>
      </x:c>
      <x:c r="E16" s="49" t="n">
        <x:f>IFERROR(B16/C16-1,"")</x:f>
        <x:v>-0.07624882549697598</x:v>
      </x:c>
      <x:c r="F16" t="str">
        <x:v>倍</x:v>
      </x:c>
      <x:c r="G16" t="str">
        <x:v>计算</x:v>
      </x:c>
      <x:c r="H16" t="str">
        <x:v>流动资产/流动负债</x:v>
      </x:c>
    </x:row>
    <x:row r="17">
      <x:c r="A17" t="str">
        <x:v>资产负债率</x:v>
      </x:c>
      <x:c r="B17" s="49" t="n">
        <x:f>('02_资产负债表'!B32+'02_资产负债表'!B38)/'02_资产负债表'!B24</x:f>
        <x:v>0.6663926232234454</x:v>
      </x:c>
      <x:c r="C17" s="49" t="n">
        <x:f>('02_资产负债表'!C32+'02_资产负债表'!C38)/'02_资产负债表'!C24</x:f>
        <x:v>0.6444441321003619</x:v>
      </x:c>
      <x:c r="D17" s="49" t="n">
        <x:f>B17-C17</x:f>
        <x:v>0.021948491123083502</x:v>
      </x:c>
      <x:c r="E17" s="49" t="n">
        <x:f>IFERROR(B17/C17-1,"")</x:f>
        <x:v>0.03405801997381741</x:v>
      </x:c>
      <x:c r="F17" t="str">
        <x:v>%</x:v>
      </x:c>
      <x:c r="G17" t="str">
        <x:v>计算</x:v>
      </x:c>
      <x:c r="H17" t="str">
        <x:v>负债合计/资产合计</x:v>
      </x:c>
    </x:row>
    <x:row r="20" ht="22" customHeight="1">
      <x:c r="A20" s="36" t="str">
        <x:v>收入结构</x:v>
      </x:c>
      <x:c r="B20" s="36" t="str">
        <x:v>收入结构</x:v>
      </x:c>
      <x:c r="C20" s="36" t="str">
        <x:v>收入结构</x:v>
      </x:c>
      <x:c r="D20" s="36" t="str">
        <x:v>收入结构</x:v>
      </x:c>
      <x:c r="E20" s="36" t="str">
        <x:v>收入结构</x:v>
      </x:c>
      <x:c r="F20" s="36" t="str">
        <x:v>收入结构</x:v>
      </x:c>
      <x:c r="G20" s="36" t="str">
        <x:v>收入结构</x:v>
      </x:c>
      <x:c r="H20" s="36" t="str">
        <x:v>收入结构</x:v>
      </x:c>
    </x:row>
    <x:row r="21">
      <x:c r="A21" s="8" t="str">
        <x:v>业务板块</x:v>
      </x:c>
      <x:c r="B21" s="8" t="str">
        <x:v>2026H1</x:v>
      </x:c>
      <x:c r="C21" s="8" t="str">
        <x:v>2025H1</x:v>
      </x:c>
    </x:row>
    <x:row r="22">
      <x:c r="A22" t="str">
        <x:v>物业管理服务</x:v>
      </x:c>
      <x:c r="B22" t="n">
        <x:v>1399901</x:v>
      </x:c>
      <x:c r="C22" t="n">
        <x:v>1158370</x:v>
      </x:c>
    </x:row>
    <x:row r="23">
      <x:c r="A23" t="str">
        <x:v>非业主增值服务</x:v>
      </x:c>
      <x:c r="B23" t="n">
        <x:v>243462</x:v>
      </x:c>
      <x:c r="C23" t="n">
        <x:v>214129</x:v>
      </x:c>
    </x:row>
    <x:row r="24">
      <x:c r="A24" t="str">
        <x:v>5S增值服务</x:v>
      </x:c>
      <x:c r="B24" t="n">
        <x:v>655028</x:v>
      </x:c>
      <x:c r="C24" t="n">
        <x:v>652542</x:v>
      </x:c>
    </x:row>
  </x:sheetData>
  <x:mergeCells>
    <x:mergeCell ref="A1:H1"/>
    <x:mergeCell ref="A2:H2"/>
    <x:mergeCell ref="D4:H4"/>
    <x:mergeCell ref="A6:H6"/>
    <x:mergeCell ref="A20:H20"/>
  </x:mergeCells>
  <x:pageMargins left="0.7" right="0.7" top="0.75" bottom="0.75" header="0.3" footer="0.3"/>
  <x:drawing xmlns:r="http://schemas.openxmlformats.org/officeDocument/2006/relationships" r:id="Rd627f0637a83494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</x:cols>
  <x:sheetData>
    <x:row r="1" ht="30" customHeight="1">
      <x:c r="A1" s="3" t="str">
        <x:v>中期简明合并利润表</x:v>
      </x:c>
      <x:c r="B1" s="3" t="str">
        <x:v>中期简明合并利润表</x:v>
      </x:c>
      <x:c r="C1" s="3" t="str">
        <x:v>中期简明合并利润表</x:v>
      </x:c>
      <x:c r="D1" s="3" t="str">
        <x:v>中期简明合并利润表</x:v>
      </x:c>
      <x:c r="E1" s="3" t="str">
        <x:v>中期简明合并利润表</x:v>
      </x:c>
      <x:c r="F1" s="3" t="str">
        <x:v>中期简明合并利润表</x:v>
      </x:c>
    </x:row>
    <x:row r="2" ht="26" customHeight="1">
      <x:c r="A2" s="6" t="str">
        <x:v>截至2026年6月30日止六个月 | 人民币千元</x:v>
      </x:c>
      <x:c r="B2" s="6" t="str">
        <x:v>截至2026年6月30日止六个月 | 人民币千元</x:v>
      </x:c>
      <x:c r="C2" s="6" t="str">
        <x:v>截至2026年6月30日止六个月 | 人民币千元</x:v>
      </x:c>
      <x:c r="D2" s="6" t="str">
        <x:v>截至2026年6月30日止六个月 | 人民币千元</x:v>
      </x:c>
      <x:c r="E2" s="6" t="str">
        <x:v>截至2026年6月30日止六个月 | 人民币千元</x:v>
      </x:c>
      <x:c r="F2" s="6" t="str">
        <x:v>截至2026年6月30日止六个月 | 人民币千元</x:v>
      </x:c>
    </x:row>
    <x:row r="5" ht="28" customHeight="1">
      <x:c r="A5" s="11" t="str">
        <x:v>项目</x:v>
      </x:c>
      <x:c r="B5" s="11" t="str">
        <x:v>2026H1/期末</x:v>
      </x:c>
      <x:c r="C5" s="11" t="str">
        <x:v>2025H1/期初</x:v>
      </x:c>
      <x:c r="D5" s="11" t="str">
        <x:v>变动额</x:v>
      </x:c>
      <x:c r="E5" s="11" t="str">
        <x:v>变动率</x:v>
      </x:c>
      <x:c r="F5" s="11" t="str">
        <x:v>来源</x:v>
      </x:c>
    </x:row>
    <x:row r="7">
      <x:c r="A7" t="str">
        <x:v>收入</x:v>
      </x:c>
      <x:c r="B7" s="12" t="n">
        <x:v>2298391</x:v>
      </x:c>
      <x:c r="C7" s="12" t="n">
        <x:v>2025041</x:v>
      </x:c>
      <x:c r="D7" s="12" t="n">
        <x:f>IF(OR(B7="",C7=""),"",B7-C7)</x:f>
        <x:v>273350</x:v>
      </x:c>
      <x:c r="E7" s="13" t="n">
        <x:f>IFERROR(B7/C7-1,"")</x:f>
        <x:v>0.1349849212929517</x:v>
      </x:c>
      <x:c r="F7" s="15" t="str">
        <x:v>PDF p3</x:v>
      </x:c>
    </x:row>
    <x:row r="8">
      <x:c r="A8" t="str">
        <x:v>销售成本</x:v>
      </x:c>
      <x:c r="B8" s="12" t="n">
        <x:v>-1821123</x:v>
      </x:c>
      <x:c r="C8" s="12" t="n">
        <x:v>-1569965</x:v>
      </x:c>
      <x:c r="D8" s="12" t="n">
        <x:f>IF(OR(B8="",C8=""),"",B8-C8)</x:f>
        <x:v>-251158</x:v>
      </x:c>
      <x:c r="E8" s="13" t="n">
        <x:f>IFERROR(B8/C8-1,"")</x:f>
        <x:v>0.159976814769756</x:v>
      </x:c>
      <x:c r="F8" s="15" t="str">
        <x:v>PDF p3</x:v>
      </x:c>
    </x:row>
    <x:row r="9">
      <x:c r="A9" s="24" t="str">
        <x:v>毛利</x:v>
      </x:c>
      <x:c r="B9" s="25" t="n">
        <x:v>477268</x:v>
      </x:c>
      <x:c r="C9" s="25" t="n">
        <x:v>455076</x:v>
      </x:c>
      <x:c r="D9" s="25" t="n">
        <x:f>IF(OR(B9="",C9=""),"",B9-C9)</x:f>
        <x:v>22192</x:v>
      </x:c>
      <x:c r="E9" s="26" t="n">
        <x:f>IFERROR(B9/C9-1,"")</x:f>
        <x:v>0.04876548093065769</x:v>
      </x:c>
      <x:c r="F9" s="27" t="str">
        <x:v>PDF p3</x:v>
      </x:c>
    </x:row>
    <x:row r="10">
      <x:c r="A10" t="str">
        <x:v>其他收入</x:v>
      </x:c>
      <x:c r="B10" s="12" t="n">
        <x:v>5128</x:v>
      </x:c>
      <x:c r="C10" s="12" t="n">
        <x:v>5579</x:v>
      </x:c>
      <x:c r="D10" s="12" t="n">
        <x:f>IF(OR(B10="",C10=""),"",B10-C10)</x:f>
        <x:v>-451</x:v>
      </x:c>
      <x:c r="E10" s="13" t="n">
        <x:f>IFERROR(B10/C10-1,"")</x:f>
        <x:v>-0.08083886001075458</x:v>
      </x:c>
      <x:c r="F10" s="15" t="str">
        <x:v>PDF p3</x:v>
      </x:c>
    </x:row>
    <x:row r="11">
      <x:c r="A11" t="str">
        <x:v>其他收益净额</x:v>
      </x:c>
      <x:c r="B11" s="12" t="n">
        <x:v>9150</x:v>
      </x:c>
      <x:c r="C11" s="12" t="n">
        <x:v>2985</x:v>
      </x:c>
      <x:c r="D11" s="12" t="n">
        <x:f>IF(OR(B11="",C11=""),"",B11-C11)</x:f>
        <x:v>6165</x:v>
      </x:c>
      <x:c r="E11" s="13" t="n">
        <x:f>IFERROR(B11/C11-1,"")</x:f>
        <x:v>2.0653266331658293</x:v>
      </x:c>
      <x:c r="F11" s="15" t="str">
        <x:v>PDF p3</x:v>
      </x:c>
    </x:row>
    <x:row r="12">
      <x:c r="A12" t="str">
        <x:v>销售及营销开支</x:v>
      </x:c>
      <x:c r="B12" s="12" t="n">
        <x:v>-12838</x:v>
      </x:c>
      <x:c r="C12" s="12" t="n">
        <x:v>-11287</x:v>
      </x:c>
      <x:c r="D12" s="12" t="n">
        <x:f>IF(OR(B12="",C12=""),"",B12-C12)</x:f>
        <x:v>-1551</x:v>
      </x:c>
      <x:c r="E12" s="13" t="n">
        <x:f>IFERROR(B12/C12-1,"")</x:f>
        <x:v>0.1374147249047577</x:v>
      </x:c>
      <x:c r="F12" s="15" t="str">
        <x:v>PDF p3</x:v>
      </x:c>
    </x:row>
    <x:row r="13">
      <x:c r="A13" t="str">
        <x:v>行政开支</x:v>
      </x:c>
      <x:c r="B13" s="12" t="n">
        <x:v>-51485</x:v>
      </x:c>
      <x:c r="C13" s="12" t="n">
        <x:v>-46551</x:v>
      </x:c>
      <x:c r="D13" s="12" t="n">
        <x:f>IF(OR(B13="",C13=""),"",B13-C13)</x:f>
        <x:v>-4934</x:v>
      </x:c>
      <x:c r="E13" s="13" t="n">
        <x:f>IFERROR(B13/C13-1,"")</x:f>
        <x:v>0.10599127838284894</x:v>
      </x:c>
      <x:c r="F13" s="15" t="str">
        <x:v>PDF p3</x:v>
      </x:c>
    </x:row>
    <x:row r="14">
      <x:c r="A14" t="str">
        <x:v>贸易应收款减值亏损</x:v>
      </x:c>
      <x:c r="B14" s="12" t="n">
        <x:v>-32478</x:v>
      </x:c>
      <x:c r="C14" s="12" t="n">
        <x:v>-26350</x:v>
      </x:c>
      <x:c r="D14" s="12" t="n">
        <x:f>IF(OR(B14="",C14=""),"",B14-C14)</x:f>
        <x:v>-6128</x:v>
      </x:c>
      <x:c r="E14" s="13" t="n">
        <x:f>IFERROR(B14/C14-1,"")</x:f>
        <x:v>0.2325616698292221</x:v>
      </x:c>
      <x:c r="F14" s="15" t="str">
        <x:v>PDF p3</x:v>
      </x:c>
    </x:row>
    <x:row r="15">
      <x:c r="A15" t="str">
        <x:v>其他开支</x:v>
      </x:c>
      <x:c r="B15" s="12" t="n">
        <x:v>-4341</x:v>
      </x:c>
      <x:c r="C15" s="12" t="n">
        <x:v>-1074</x:v>
      </x:c>
      <x:c r="D15" s="12" t="n">
        <x:f>IF(OR(B15="",C15=""),"",B15-C15)</x:f>
        <x:v>-3267</x:v>
      </x:c>
      <x:c r="E15" s="13" t="n">
        <x:f>IFERROR(B15/C15-1,"")</x:f>
        <x:v>3.0418994413407825</x:v>
      </x:c>
      <x:c r="F15" s="15" t="str">
        <x:v>PDF p3</x:v>
      </x:c>
    </x:row>
    <x:row r="16">
      <x:c r="A16" s="24" t="str">
        <x:v>经营利润</x:v>
      </x:c>
      <x:c r="B16" s="25" t="n">
        <x:v>390404</x:v>
      </x:c>
      <x:c r="C16" s="25" t="n">
        <x:v>378378</x:v>
      </x:c>
      <x:c r="D16" s="25" t="n">
        <x:f>IF(OR(B16="",C16=""),"",B16-C16)</x:f>
        <x:v>12026</x:v>
      </x:c>
      <x:c r="E16" s="26" t="n">
        <x:f>IFERROR(B16/C16-1,"")</x:f>
        <x:v>0.03178303178303188</x:v>
      </x:c>
      <x:c r="F16" s="27" t="str">
        <x:v>PDF p3</x:v>
      </x:c>
    </x:row>
    <x:row r="17">
      <x:c r="A17" t="str">
        <x:v>财务收入</x:v>
      </x:c>
      <x:c r="B17" s="12" t="n">
        <x:v>35732</x:v>
      </x:c>
      <x:c r="C17" s="12" t="n">
        <x:v>35440</x:v>
      </x:c>
      <x:c r="D17" s="12" t="n">
        <x:f>IF(OR(B17="",C17=""),"",B17-C17)</x:f>
        <x:v>292</x:v>
      </x:c>
      <x:c r="E17" s="13" t="n">
        <x:f>IFERROR(B17/C17-1,"")</x:f>
        <x:v>0.008239277652370314</x:v>
      </x:c>
      <x:c r="F17" s="15" t="str">
        <x:v>PDF p3</x:v>
      </x:c>
    </x:row>
    <x:row r="18">
      <x:c r="A18" t="str">
        <x:v>财务成本</x:v>
      </x:c>
      <x:c r="B18" s="12" t="n">
        <x:v>-144</x:v>
      </x:c>
      <x:c r="C18" s="12" t="n">
        <x:v>-65</x:v>
      </x:c>
      <x:c r="D18" s="12" t="n">
        <x:f>IF(OR(B18="",C18=""),"",B18-C18)</x:f>
        <x:v>-79</x:v>
      </x:c>
      <x:c r="E18" s="13" t="n">
        <x:f>IFERROR(B18/C18-1,"")</x:f>
        <x:v>1.2153846153846155</x:v>
      </x:c>
      <x:c r="F18" s="15" t="str">
        <x:v>PDF p3</x:v>
      </x:c>
    </x:row>
    <x:row r="19">
      <x:c r="A19" s="24" t="str">
        <x:v>财务收入净额</x:v>
      </x:c>
      <x:c r="B19" s="25" t="n">
        <x:v>35588</x:v>
      </x:c>
      <x:c r="C19" s="25" t="n">
        <x:v>35375</x:v>
      </x:c>
      <x:c r="D19" s="25" t="n">
        <x:f>IF(OR(B19="",C19=""),"",B19-C19)</x:f>
        <x:v>213</x:v>
      </x:c>
      <x:c r="E19" s="26" t="n">
        <x:f>IFERROR(B19/C19-1,"")</x:f>
        <x:v>0.006021201413427546</x:v>
      </x:c>
      <x:c r="F19" s="27" t="str">
        <x:v>PDF p3</x:v>
      </x:c>
    </x:row>
    <x:row r="20">
      <x:c r="A20" t="str">
        <x:v>应占联营公司利润</x:v>
      </x:c>
      <x:c r="B20" s="12" t="n">
        <x:v>1906</x:v>
      </x:c>
      <x:c r="C20" s="12" t="n">
        <x:v>957</x:v>
      </x:c>
      <x:c r="D20" s="12" t="n">
        <x:f>IF(OR(B20="",C20=""),"",B20-C20)</x:f>
        <x:v>949</x:v>
      </x:c>
      <x:c r="E20" s="13" t="n">
        <x:f>IFERROR(B20/C20-1,"")</x:f>
        <x:v>0.9916405433646813</x:v>
      </x:c>
      <x:c r="F20" s="15" t="str">
        <x:v>PDF p3</x:v>
      </x:c>
    </x:row>
    <x:row r="21">
      <x:c r="A21" t="str">
        <x:v>应占合营企业利润/(亏损)</x:v>
      </x:c>
      <x:c r="B21" s="12" t="n">
        <x:v>1110</x:v>
      </x:c>
      <x:c r="C21" s="12" t="n">
        <x:v>-471</x:v>
      </x:c>
      <x:c r="D21" s="12" t="n">
        <x:f>IF(OR(B21="",C21=""),"",B21-C21)</x:f>
        <x:v>1581</x:v>
      </x:c>
      <x:c r="E21" s="13" t="n">
        <x:f>IFERROR(B21/C21-1,"")</x:f>
        <x:v>-3.356687898089172</x:v>
      </x:c>
      <x:c r="F21" s="15" t="str">
        <x:v>PDF p3</x:v>
      </x:c>
    </x:row>
    <x:row r="22">
      <x:c r="A22" s="24" t="str">
        <x:v>除所得税前利润</x:v>
      </x:c>
      <x:c r="B22" s="25" t="n">
        <x:v>429008</x:v>
      </x:c>
      <x:c r="C22" s="25" t="n">
        <x:v>414239</x:v>
      </x:c>
      <x:c r="D22" s="25" t="n">
        <x:f>IF(OR(B22="",C22=""),"",B22-C22)</x:f>
        <x:v>14769</x:v>
      </x:c>
      <x:c r="E22" s="26" t="n">
        <x:f>IFERROR(B22/C22-1,"")</x:f>
        <x:v>0.035653330565205144</x:v>
      </x:c>
      <x:c r="F22" s="27" t="str">
        <x:v>PDF p3</x:v>
      </x:c>
    </x:row>
    <x:row r="23">
      <x:c r="A23" t="str">
        <x:v>所得税开支</x:v>
      </x:c>
      <x:c r="B23" s="12" t="n">
        <x:v>-106942</x:v>
      </x:c>
      <x:c r="C23" s="12" t="n">
        <x:v>-108677</x:v>
      </x:c>
      <x:c r="D23" s="12" t="n">
        <x:f>IF(OR(B23="",C23=""),"",B23-C23)</x:f>
        <x:v>1735</x:v>
      </x:c>
      <x:c r="E23" s="13" t="n">
        <x:f>IFERROR(B23/C23-1,"")</x:f>
        <x:v>-0.01596473954930666</x:v>
      </x:c>
      <x:c r="F23" s="15" t="str">
        <x:v>PDF p3</x:v>
      </x:c>
    </x:row>
    <x:row r="24">
      <x:c r="A24" s="24" t="str">
        <x:v>期内利润</x:v>
      </x:c>
      <x:c r="B24" s="25" t="n">
        <x:v>322066</x:v>
      </x:c>
      <x:c r="C24" s="25" t="n">
        <x:v>305562</x:v>
      </x:c>
      <x:c r="D24" s="25" t="n">
        <x:f>IF(OR(B24="",C24=""),"",B24-C24)</x:f>
        <x:v>16504</x:v>
      </x:c>
      <x:c r="E24" s="26" t="n">
        <x:f>IFERROR(B24/C24-1,"")</x:f>
        <x:v>0.05401195174792672</x:v>
      </x:c>
      <x:c r="F24" s="27" t="str">
        <x:v>PDF p3</x:v>
      </x:c>
    </x:row>
    <x:row r="25">
      <x:c r="A25" t="str">
        <x:v>本公司拥有人应占利润</x:v>
      </x:c>
      <x:c r="B25" s="12" t="n">
        <x:v>315003</x:v>
      </x:c>
      <x:c r="C25" s="12" t="n">
        <x:v>297707</x:v>
      </x:c>
      <x:c r="D25" s="12" t="n">
        <x:f>IF(OR(B25="",C25=""),"",B25-C25)</x:f>
        <x:v>17296</x:v>
      </x:c>
      <x:c r="E25" s="13" t="n">
        <x:f>IFERROR(B25/C25-1,"")</x:f>
        <x:v>0.05809739105899414</x:v>
      </x:c>
      <x:c r="F25" s="15" t="str">
        <x:v>PDF p3</x:v>
      </x:c>
    </x:row>
    <x:row r="26">
      <x:c r="A26" t="str">
        <x:v>非控股权益应占利润</x:v>
      </x:c>
      <x:c r="B26" s="12" t="n">
        <x:v>7063</x:v>
      </x:c>
      <x:c r="C26" s="12" t="n">
        <x:v>7855</x:v>
      </x:c>
      <x:c r="D26" s="12" t="n">
        <x:f>IF(OR(B26="",C26=""),"",B26-C26)</x:f>
        <x:v>-792</x:v>
      </x:c>
      <x:c r="E26" s="13" t="n">
        <x:f>IFERROR(B26/C26-1,"")</x:f>
        <x:v>-0.1008274984086569</x:v>
      </x:c>
      <x:c r="F26" s="15" t="str">
        <x:v>PDF p3</x:v>
      </x:c>
    </x:row>
    <x:row r="27">
      <x:c r="A27" s="24" t="str">
        <x:v>归属合计</x:v>
      </x:c>
      <x:c r="B27" s="25" t="n">
        <x:v>322066</x:v>
      </x:c>
      <x:c r="C27" s="25" t="n">
        <x:v>305562</x:v>
      </x:c>
      <x:c r="D27" s="25" t="n">
        <x:f>IF(OR(B27="",C27=""),"",B27-C27)</x:f>
        <x:v>16504</x:v>
      </x:c>
      <x:c r="E27" s="26" t="n">
        <x:f>IFERROR(B27/C27-1,"")</x:f>
        <x:v>0.05401195174792672</x:v>
      </x:c>
      <x:c r="F27" s="27" t="str">
        <x:v>PDF p3</x:v>
      </x:c>
    </x:row>
    <x:row r="28">
      <x:c r="A28" t="str">
        <x:v>每股基本及摊薄盈利（人民币元）</x:v>
      </x:c>
      <x:c r="B28" s="12" t="n">
        <x:v>1.14</x:v>
      </x:c>
      <x:c r="C28" s="12" t="n">
        <x:v>1.08</x:v>
      </x:c>
      <x:c r="D28" s="12" t="n">
        <x:f>IF(OR(B28="",C28=""),"",B28-C28)</x:f>
        <x:v>0.05999999999999983</x:v>
      </x:c>
      <x:c r="E28" s="13" t="n">
        <x:f>IFERROR(B28/C28-1,"")</x:f>
        <x:v>0.05555555555555536</x:v>
      </x:c>
      <x:c r="F28" s="15" t="str">
        <x:v>PDF p4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</x:cols>
  <x:sheetData>
    <x:row r="1" ht="30" customHeight="1">
      <x:c r="A1" s="3" t="str">
        <x:v>中期简明合并财务状况表</x:v>
      </x:c>
      <x:c r="B1" s="3" t="str">
        <x:v>中期简明合并财务状况表</x:v>
      </x:c>
      <x:c r="C1" s="3" t="str">
        <x:v>中期简明合并财务状况表</x:v>
      </x:c>
      <x:c r="D1" s="3" t="str">
        <x:v>中期简明合并财务状况表</x:v>
      </x:c>
      <x:c r="E1" s="3" t="str">
        <x:v>中期简明合并财务状况表</x:v>
      </x:c>
      <x:c r="F1" s="3" t="str">
        <x:v>中期简明合并财务状况表</x:v>
      </x:c>
    </x:row>
    <x:row r="2" ht="26" customHeight="1">
      <x:c r="A2" s="6" t="str">
        <x:v>2026年6月30日（未经审计）对2025年12月31日 | 人民币千元</x:v>
      </x:c>
      <x:c r="B2" s="6" t="str">
        <x:v>2026年6月30日（未经审计）对2025年12月31日 | 人民币千元</x:v>
      </x:c>
      <x:c r="C2" s="6" t="str">
        <x:v>2026年6月30日（未经审计）对2025年12月31日 | 人民币千元</x:v>
      </x:c>
      <x:c r="D2" s="6" t="str">
        <x:v>2026年6月30日（未经审计）对2025年12月31日 | 人民币千元</x:v>
      </x:c>
      <x:c r="E2" s="6" t="str">
        <x:v>2026年6月30日（未经审计）对2025年12月31日 | 人民币千元</x:v>
      </x:c>
      <x:c r="F2" s="6" t="str">
        <x:v>2026年6月30日（未经审计）对2025年12月31日 | 人民币千元</x:v>
      </x:c>
    </x:row>
    <x:row r="5" ht="28" customHeight="1">
      <x:c r="A5" s="11" t="str">
        <x:v>项目</x:v>
      </x:c>
      <x:c r="B5" s="11" t="str">
        <x:v>2026H1/期末</x:v>
      </x:c>
      <x:c r="C5" s="11" t="str">
        <x:v>2025H1/期初</x:v>
      </x:c>
      <x:c r="D5" s="11" t="str">
        <x:v>变动额</x:v>
      </x:c>
      <x:c r="E5" s="11" t="str">
        <x:v>变动率</x:v>
      </x:c>
      <x:c r="F5" s="11" t="str">
        <x:v>来源</x:v>
      </x:c>
    </x:row>
    <x:row r="7">
      <x:c r="A7" s="31" t="str">
        <x:v>非流动资产</x:v>
      </x:c>
      <x:c r="B7" s="32"/>
      <x:c r="C7" s="32"/>
      <x:c r="D7" s="32" t="str">
        <x:f>IF(OR(B7="",C7=""),"",B7-C7)</x:f>
      </x:c>
      <x:c r="E7" s="33" t="str">
        <x:f>IFERROR(B7/C7-1,"")</x:f>
      </x:c>
      <x:c r="F7" s="34" t="str"/>
    </x:row>
    <x:row r="8">
      <x:c r="A8" t="str">
        <x:v>物业、厂房及设备</x:v>
      </x:c>
      <x:c r="B8" s="12" t="n">
        <x:v>55618</x:v>
      </x:c>
      <x:c r="C8" s="12" t="n">
        <x:v>51692</x:v>
      </x:c>
      <x:c r="D8" s="12" t="n">
        <x:f>IF(OR(B8="",C8=""),"",B8-C8)</x:f>
        <x:v>3926</x:v>
      </x:c>
      <x:c r="E8" s="13" t="n">
        <x:f>IFERROR(B8/C8-1,"")</x:f>
        <x:v>0.07594985684438593</x:v>
      </x:c>
      <x:c r="F8" s="15" t="str">
        <x:v>PDF p5</x:v>
      </x:c>
    </x:row>
    <x:row r="9">
      <x:c r="A9" t="str">
        <x:v>无形资产</x:v>
      </x:c>
      <x:c r="B9" s="12" t="n">
        <x:v>4562</x:v>
      </x:c>
      <x:c r="C9" s="12" t="n">
        <x:v>4440</x:v>
      </x:c>
      <x:c r="D9" s="12" t="n">
        <x:f>IF(OR(B9="",C9=""),"",B9-C9)</x:f>
        <x:v>122</x:v>
      </x:c>
      <x:c r="E9" s="13" t="n">
        <x:f>IFERROR(B9/C9-1,"")</x:f>
        <x:v>0.02747747747747753</x:v>
      </x:c>
      <x:c r="F9" s="15" t="str">
        <x:v>PDF p5</x:v>
      </x:c>
    </x:row>
    <x:row r="10">
      <x:c r="A10" t="str">
        <x:v>于联营公司的投资</x:v>
      </x:c>
      <x:c r="B10" s="12" t="n">
        <x:v>11249</x:v>
      </x:c>
      <x:c r="C10" s="12" t="n">
        <x:v>9343</x:v>
      </x:c>
      <x:c r="D10" s="12" t="n">
        <x:f>IF(OR(B10="",C10=""),"",B10-C10)</x:f>
        <x:v>1906</x:v>
      </x:c>
      <x:c r="E10" s="13" t="n">
        <x:f>IFERROR(B10/C10-1,"")</x:f>
        <x:v>0.20400299689607193</x:v>
      </x:c>
      <x:c r="F10" s="15" t="str">
        <x:v>PDF p5</x:v>
      </x:c>
    </x:row>
    <x:row r="11">
      <x:c r="A11" t="str">
        <x:v>于合营企业的投资</x:v>
      </x:c>
      <x:c r="B11" s="12" t="n">
        <x:v>4435</x:v>
      </x:c>
      <x:c r="C11" s="12" t="n">
        <x:v>3325</x:v>
      </x:c>
      <x:c r="D11" s="12" t="n">
        <x:f>IF(OR(B11="",C11=""),"",B11-C11)</x:f>
        <x:v>1110</x:v>
      </x:c>
      <x:c r="E11" s="13" t="n">
        <x:f>IFERROR(B11/C11-1,"")</x:f>
        <x:v>0.3338345864661654</x:v>
      </x:c>
      <x:c r="F11" s="15" t="str">
        <x:v>PDF p5</x:v>
      </x:c>
    </x:row>
    <x:row r="12">
      <x:c r="A12" t="str">
        <x:v>递延所得税资产</x:v>
      </x:c>
      <x:c r="B12" s="12" t="n">
        <x:v>67263</x:v>
      </x:c>
      <x:c r="C12" s="12" t="n">
        <x:v>52785</x:v>
      </x:c>
      <x:c r="D12" s="12" t="n">
        <x:f>IF(OR(B12="",C12=""),"",B12-C12)</x:f>
        <x:v>14478</x:v>
      </x:c>
      <x:c r="E12" s="13" t="n">
        <x:f>IFERROR(B12/C12-1,"")</x:f>
        <x:v>0.27428246660983224</x:v>
      </x:c>
      <x:c r="F12" s="15" t="str">
        <x:v>PDF p5</x:v>
      </x:c>
    </x:row>
    <x:row r="13">
      <x:c r="A13" t="str">
        <x:v>定期存款（非流动）</x:v>
      </x:c>
      <x:c r="B13" s="12" t="n">
        <x:v>332248</x:v>
      </x:c>
      <x:c r="C13" s="12" t="n">
        <x:v>91756</x:v>
      </x:c>
      <x:c r="D13" s="12" t="n">
        <x:f>IF(OR(B13="",C13=""),"",B13-C13)</x:f>
        <x:v>240492</x:v>
      </x:c>
      <x:c r="E13" s="13" t="n">
        <x:f>IFERROR(B13/C13-1,"")</x:f>
        <x:v>2.620994812328349</x:v>
      </x:c>
      <x:c r="F13" s="15" t="str">
        <x:v>PDF p5</x:v>
      </x:c>
    </x:row>
    <x:row r="14">
      <x:c r="A14" t="str">
        <x:v>预付款项（非流动）</x:v>
      </x:c>
      <x:c r="B14" s="12" t="n">
        <x:v>780</x:v>
      </x:c>
      <x:c r="C14" s="12" t="n">
        <x:v>1224</x:v>
      </x:c>
      <x:c r="D14" s="12" t="n">
        <x:f>IF(OR(B14="",C14=""),"",B14-C14)</x:f>
        <x:v>-444</x:v>
      </x:c>
      <x:c r="E14" s="13" t="n">
        <x:f>IFERROR(B14/C14-1,"")</x:f>
        <x:v>-0.36274509803921573</x:v>
      </x:c>
      <x:c r="F14" s="15" t="str">
        <x:v>PDF p5</x:v>
      </x:c>
    </x:row>
    <x:row r="15">
      <x:c r="A15" s="24" t="str">
        <x:v>非流动资产总额</x:v>
      </x:c>
      <x:c r="B15" s="25" t="n">
        <x:v>476155</x:v>
      </x:c>
      <x:c r="C15" s="25" t="n">
        <x:v>214565</x:v>
      </x:c>
      <x:c r="D15" s="25" t="n">
        <x:f>IF(OR(B15="",C15=""),"",B15-C15)</x:f>
        <x:v>261590</x:v>
      </x:c>
      <x:c r="E15" s="26" t="n">
        <x:f>IFERROR(B15/C15-1,"")</x:f>
        <x:v>1.219164355789621</x:v>
      </x:c>
      <x:c r="F15" s="27" t="str">
        <x:v>PDF p5</x:v>
      </x:c>
    </x:row>
    <x:row r="16">
      <x:c r="A16" s="31" t="str">
        <x:v>流动资产</x:v>
      </x:c>
      <x:c r="B16" s="32"/>
      <x:c r="C16" s="32"/>
      <x:c r="D16" s="32" t="str">
        <x:f>IF(OR(B16="",C16=""),"",B16-C16)</x:f>
      </x:c>
      <x:c r="E16" s="33" t="str">
        <x:f>IFERROR(B16/C16-1,"")</x:f>
      </x:c>
      <x:c r="F16" s="34" t="str"/>
    </x:row>
    <x:row r="17">
      <x:c r="A17" t="str">
        <x:v>存货</x:v>
      </x:c>
      <x:c r="B17" s="12" t="n">
        <x:v>305256</x:v>
      </x:c>
      <x:c r="C17" s="12" t="n">
        <x:v>333044</x:v>
      </x:c>
      <x:c r="D17" s="12" t="n">
        <x:f>IF(OR(B17="",C17=""),"",B17-C17)</x:f>
        <x:v>-27788</x:v>
      </x:c>
      <x:c r="E17" s="13" t="n">
        <x:f>IFERROR(B17/C17-1,"")</x:f>
        <x:v>-0.08343642281500341</x:v>
      </x:c>
      <x:c r="F17" s="15" t="str">
        <x:v>PDF p5</x:v>
      </x:c>
    </x:row>
    <x:row r="18">
      <x:c r="A18" t="str">
        <x:v>贸易及其他应收款</x:v>
      </x:c>
      <x:c r="B18" s="12" t="n">
        <x:v>1077744</x:v>
      </x:c>
      <x:c r="C18" s="12" t="n">
        <x:v>760360</x:v>
      </x:c>
      <x:c r="D18" s="12" t="n">
        <x:f>IF(OR(B18="",C18=""),"",B18-C18)</x:f>
        <x:v>317384</x:v>
      </x:c>
      <x:c r="E18" s="13" t="n">
        <x:f>IFERROR(B18/C18-1,"")</x:f>
        <x:v>0.4174128044610448</x:v>
      </x:c>
      <x:c r="F18" s="15" t="str">
        <x:v>PDF p5</x:v>
      </x:c>
    </x:row>
    <x:row r="19">
      <x:c r="A19" t="str">
        <x:v>按公允价值计入损益的金融资产</x:v>
      </x:c>
      <x:c r="B19" s="12" t="n">
        <x:v>1160806</x:v>
      </x:c>
      <x:c r="C19" s="12" t="n">
        <x:v>432769</x:v>
      </x:c>
      <x:c r="D19" s="12" t="n">
        <x:f>IF(OR(B19="",C19=""),"",B19-C19)</x:f>
        <x:v>728037</x:v>
      </x:c>
      <x:c r="E19" s="13" t="n">
        <x:f>IFERROR(B19/C19-1,"")</x:f>
        <x:v>1.6822762258849409</x:v>
      </x:c>
      <x:c r="F19" s="15" t="str">
        <x:v>PDF p5</x:v>
      </x:c>
    </x:row>
    <x:row r="20">
      <x:c r="A20" t="str">
        <x:v>定期存款（流动）</x:v>
      </x:c>
      <x:c r="B20" s="12" t="n">
        <x:v>1554026</x:v>
      </x:c>
      <x:c r="C20" s="12" t="n">
        <x:v>2014517</x:v>
      </x:c>
      <x:c r="D20" s="12" t="n">
        <x:f>IF(OR(B20="",C20=""),"",B20-C20)</x:f>
        <x:v>-460491</x:v>
      </x:c>
      <x:c r="E20" s="13" t="n">
        <x:f>IFERROR(B20/C20-1,"")</x:f>
        <x:v>-0.22858630629575227</x:v>
      </x:c>
      <x:c r="F20" s="15" t="str">
        <x:v>PDF p5</x:v>
      </x:c>
    </x:row>
    <x:row r="21">
      <x:c r="A21" t="str">
        <x:v>受限制银行结余</x:v>
      </x:c>
      <x:c r="B21" s="12" t="n">
        <x:v>60038</x:v>
      </x:c>
      <x:c r="C21" s="12" t="n">
        <x:v>263340</x:v>
      </x:c>
      <x:c r="D21" s="12" t="n">
        <x:f>IF(OR(B21="",C21=""),"",B21-C21)</x:f>
        <x:v>-203302</x:v>
      </x:c>
      <x:c r="E21" s="13" t="n">
        <x:f>IFERROR(B21/C21-1,"")</x:f>
        <x:v>-0.7720133667502088</x:v>
      </x:c>
      <x:c r="F21" s="15" t="str">
        <x:v>PDF p5</x:v>
      </x:c>
    </x:row>
    <x:row r="22">
      <x:c r="A22" t="str">
        <x:v>现金及现金等价物</x:v>
      </x:c>
      <x:c r="B22" s="12" t="n">
        <x:v>750766</x:v>
      </x:c>
      <x:c r="C22" s="12" t="n">
        <x:v>890521</x:v>
      </x:c>
      <x:c r="D22" s="12" t="n">
        <x:f>IF(OR(B22="",C22=""),"",B22-C22)</x:f>
        <x:v>-139755</x:v>
      </x:c>
      <x:c r="E22" s="13" t="n">
        <x:f>IFERROR(B22/C22-1,"")</x:f>
        <x:v>-0.15693622048216715</x:v>
      </x:c>
      <x:c r="F22" s="15" t="str">
        <x:v>PDF p5</x:v>
      </x:c>
    </x:row>
    <x:row r="23">
      <x:c r="A23" s="24" t="str">
        <x:v>流动资产总额</x:v>
      </x:c>
      <x:c r="B23" s="25" t="n">
        <x:v>4908636</x:v>
      </x:c>
      <x:c r="C23" s="25" t="n">
        <x:v>4694551</x:v>
      </x:c>
      <x:c r="D23" s="25" t="n">
        <x:f>IF(OR(B23="",C23=""),"",B23-C23)</x:f>
        <x:v>214085</x:v>
      </x:c>
      <x:c r="E23" s="26" t="n">
        <x:f>IFERROR(B23/C23-1,"")</x:f>
        <x:v>0.045602870221241654</x:v>
      </x:c>
      <x:c r="F23" s="27" t="str">
        <x:v>PDF p5</x:v>
      </x:c>
    </x:row>
    <x:row r="24">
      <x:c r="A24" s="24" t="str">
        <x:v>资产总额（计算）</x:v>
      </x:c>
      <x:c r="B24" s="25" t="n">
        <x:f>B15+B23</x:f>
        <x:v>5384791</x:v>
      </x:c>
      <x:c r="C24" s="25" t="n">
        <x:f>C15+C23</x:f>
        <x:v>4909116</x:v>
      </x:c>
      <x:c r="D24" s="25" t="n">
        <x:f>IF(OR(B24="",C24=""),"",B24-C24)</x:f>
        <x:v>475675</x:v>
      </x:c>
      <x:c r="E24" s="26" t="n">
        <x:f>IFERROR(B24/C24-1,"")</x:f>
        <x:v>0.09689626401168772</x:v>
      </x:c>
      <x:c r="F24" s="27" t="str">
        <x:v>计算</x:v>
      </x:c>
    </x:row>
    <x:row r="25">
      <x:c r="A25" s="31" t="str">
        <x:v>流动负债</x:v>
      </x:c>
      <x:c r="B25" s="32"/>
      <x:c r="C25" s="32"/>
      <x:c r="D25" s="32" t="str">
        <x:f>IF(OR(B25="",C25=""),"",B25-C25)</x:f>
      </x:c>
      <x:c r="E25" s="33" t="str">
        <x:f>IFERROR(B25/C25-1,"")</x:f>
      </x:c>
      <x:c r="F25" s="34" t="str"/>
    </x:row>
    <x:row r="26">
      <x:c r="A26" t="str">
        <x:v>合同负债</x:v>
      </x:c>
      <x:c r="B26" s="12" t="n">
        <x:v>1847357</x:v>
      </x:c>
      <x:c r="C26" s="12" t="n">
        <x:v>1768657</x:v>
      </x:c>
      <x:c r="D26" s="12" t="n">
        <x:f>IF(OR(B26="",C26=""),"",B26-C26)</x:f>
        <x:v>78700</x:v>
      </x:c>
      <x:c r="E26" s="13" t="n">
        <x:f>IFERROR(B26/C26-1,"")</x:f>
        <x:v>0.04449703927895565</x:v>
      </x:c>
      <x:c r="F26" s="15" t="str">
        <x:v>PDF p5</x:v>
      </x:c>
    </x:row>
    <x:row r="27">
      <x:c r="A27" t="str">
        <x:v>贸易及其他应付款</x:v>
      </x:c>
      <x:c r="B27" s="12" t="n">
        <x:v>1376983</x:v>
      </x:c>
      <x:c r="C27" s="12" t="n">
        <x:v>1285042</x:v>
      </x:c>
      <x:c r="D27" s="12" t="n">
        <x:f>IF(OR(B27="",C27=""),"",B27-C27)</x:f>
        <x:v>91941</x:v>
      </x:c>
      <x:c r="E27" s="13" t="n">
        <x:f>IFERROR(B27/C27-1,"")</x:f>
        <x:v>0.07154707783870107</x:v>
      </x:c>
      <x:c r="F27" s="15" t="str">
        <x:v>PDF p5</x:v>
      </x:c>
    </x:row>
    <x:row r="28">
      <x:c r="A28" t="str">
        <x:v>银行借款</x:v>
      </x:c>
      <x:c r="B28" s="12" t="n">
        <x:v>2902</x:v>
      </x:c>
      <x:c r="C28" s="12" t="n">
        <x:v>0</x:v>
      </x:c>
      <x:c r="D28" s="12" t="str">
        <x:f>IF(OR(B28="",C28=""),"",B28-C28)</x:f>
      </x:c>
      <x:c r="E28" s="13" t="str">
        <x:f>IFERROR(B28/C28-1,"")</x:f>
      </x:c>
      <x:c r="F28" s="15" t="str">
        <x:v>PDF p5</x:v>
      </x:c>
    </x:row>
    <x:row r="29">
      <x:c r="A29" t="str">
        <x:v>租赁负债（流动）</x:v>
      </x:c>
      <x:c r="B29" s="12" t="n">
        <x:v>1792</x:v>
      </x:c>
      <x:c r="C29" s="12" t="n">
        <x:v>1251</x:v>
      </x:c>
      <x:c r="D29" s="12" t="n">
        <x:f>IF(OR(B29="",C29=""),"",B29-C29)</x:f>
        <x:v>541</x:v>
      </x:c>
      <x:c r="E29" s="13" t="n">
        <x:f>IFERROR(B29/C29-1,"")</x:f>
        <x:v>0.4324540367705836</x:v>
      </x:c>
      <x:c r="F29" s="15" t="str">
        <x:v>PDF p5</x:v>
      </x:c>
    </x:row>
    <x:row r="30">
      <x:c r="A30" t="str">
        <x:v>即期所得税负债</x:v>
      </x:c>
      <x:c r="B30" s="12" t="n">
        <x:v>91303</x:v>
      </x:c>
      <x:c r="C30" s="12" t="n">
        <x:v>85874</x:v>
      </x:c>
      <x:c r="D30" s="12" t="n">
        <x:f>IF(OR(B30="",C30=""),"",B30-C30)</x:f>
        <x:v>5429</x:v>
      </x:c>
      <x:c r="E30" s="13" t="n">
        <x:f>IFERROR(B30/C30-1,"")</x:f>
        <x:v>0.06322053240794645</x:v>
      </x:c>
      <x:c r="F30" s="15" t="str">
        <x:v>PDF p5</x:v>
      </x:c>
    </x:row>
    <x:row r="31">
      <x:c r="A31" t="str">
        <x:v>应付股息</x:v>
      </x:c>
      <x:c r="B31" s="12" t="n">
        <x:v>234792</x:v>
      </x:c>
      <x:c r="C31" s="12" t="n">
        <x:v>0</x:v>
      </x:c>
      <x:c r="D31" s="12" t="str">
        <x:f>IF(OR(B31="",C31=""),"",B31-C31)</x:f>
      </x:c>
      <x:c r="E31" s="13" t="str">
        <x:f>IFERROR(B31/C31-1,"")</x:f>
      </x:c>
      <x:c r="F31" s="15" t="str">
        <x:v>PDF p5</x:v>
      </x:c>
    </x:row>
    <x:row r="32">
      <x:c r="A32" s="24" t="str">
        <x:v>流动负债总额</x:v>
      </x:c>
      <x:c r="B32" s="25" t="n">
        <x:v>3555129</x:v>
      </x:c>
      <x:c r="C32" s="25" t="n">
        <x:v>3140824</x:v>
      </x:c>
      <x:c r="D32" s="25" t="n">
        <x:f>IF(OR(B32="",C32=""),"",B32-C32)</x:f>
        <x:v>414305</x:v>
      </x:c>
      <x:c r="E32" s="26" t="n">
        <x:f>IFERROR(B32/C32-1,"")</x:f>
        <x:v>0.13190965173470404</x:v>
      </x:c>
      <x:c r="F32" s="27" t="str">
        <x:v>PDF p5</x:v>
      </x:c>
    </x:row>
    <x:row r="33">
      <x:c r="A33" s="24" t="str">
        <x:v>流动资产净额</x:v>
      </x:c>
      <x:c r="B33" s="25" t="n">
        <x:v>1353507</x:v>
      </x:c>
      <x:c r="C33" s="25" t="n">
        <x:v>1553727</x:v>
      </x:c>
      <x:c r="D33" s="25" t="n">
        <x:f>IF(OR(B33="",C33=""),"",B33-C33)</x:f>
        <x:v>-200220</x:v>
      </x:c>
      <x:c r="E33" s="26" t="n">
        <x:f>IFERROR(B33/C33-1,"")</x:f>
        <x:v>-0.12886433717120194</x:v>
      </x:c>
      <x:c r="F33" s="27" t="str">
        <x:v>PDF p5</x:v>
      </x:c>
    </x:row>
    <x:row r="34">
      <x:c r="A34" s="24" t="str">
        <x:v>资产总额减流动负债</x:v>
      </x:c>
      <x:c r="B34" s="25" t="n">
        <x:v>1829662</x:v>
      </x:c>
      <x:c r="C34" s="25" t="n">
        <x:v>1768292</x:v>
      </x:c>
      <x:c r="D34" s="25" t="n">
        <x:f>IF(OR(B34="",C34=""),"",B34-C34)</x:f>
        <x:v>61370</x:v>
      </x:c>
      <x:c r="E34" s="26" t="n">
        <x:f>IFERROR(B34/C34-1,"")</x:f>
        <x:v>0.03470580650707</x:v>
      </x:c>
      <x:c r="F34" s="27" t="str">
        <x:v>PDF p5</x:v>
      </x:c>
    </x:row>
    <x:row r="35">
      <x:c r="A35" s="31" t="str">
        <x:v>非流动负债</x:v>
      </x:c>
      <x:c r="B35" s="32"/>
      <x:c r="C35" s="32"/>
      <x:c r="D35" s="32" t="str">
        <x:f>IF(OR(B35="",C35=""),"",B35-C35)</x:f>
      </x:c>
      <x:c r="E35" s="33" t="str">
        <x:f>IFERROR(B35/C35-1,"")</x:f>
      </x:c>
      <x:c r="F35" s="34" t="str"/>
    </x:row>
    <x:row r="36">
      <x:c r="A36" t="str">
        <x:v>租赁负债（非流动）</x:v>
      </x:c>
      <x:c r="B36" s="12" t="n">
        <x:v>2556</x:v>
      </x:c>
      <x:c r="C36" s="12" t="n">
        <x:v>1127</x:v>
      </x:c>
      <x:c r="D36" s="12" t="n">
        <x:f>IF(OR(B36="",C36=""),"",B36-C36)</x:f>
        <x:v>1429</x:v>
      </x:c>
      <x:c r="E36" s="13" t="n">
        <x:f>IFERROR(B36/C36-1,"")</x:f>
        <x:v>1.2679680567879328</x:v>
      </x:c>
      <x:c r="F36" s="15" t="str">
        <x:v>PDF p6</x:v>
      </x:c>
    </x:row>
    <x:row r="37">
      <x:c r="A37" t="str">
        <x:v>递延所得税负债</x:v>
      </x:c>
      <x:c r="B37" s="12" t="n">
        <x:v>30700</x:v>
      </x:c>
      <x:c r="C37" s="12" t="n">
        <x:v>21700</x:v>
      </x:c>
      <x:c r="D37" s="12" t="n">
        <x:f>IF(OR(B37="",C37=""),"",B37-C37)</x:f>
        <x:v>9000</x:v>
      </x:c>
      <x:c r="E37" s="13" t="n">
        <x:f>IFERROR(B37/C37-1,"")</x:f>
        <x:v>0.4147465437788018</x:v>
      </x:c>
      <x:c r="F37" s="15" t="str">
        <x:v>PDF p6</x:v>
      </x:c>
    </x:row>
    <x:row r="38">
      <x:c r="A38" s="24" t="str">
        <x:v>非流动负债总额</x:v>
      </x:c>
      <x:c r="B38" s="25" t="n">
        <x:v>33256</x:v>
      </x:c>
      <x:c r="C38" s="25" t="n">
        <x:v>22827</x:v>
      </x:c>
      <x:c r="D38" s="25" t="n">
        <x:f>IF(OR(B38="",C38=""),"",B38-C38)</x:f>
        <x:v>10429</x:v>
      </x:c>
      <x:c r="E38" s="26" t="n">
        <x:f>IFERROR(B38/C38-1,"")</x:f>
        <x:v>0.45687124895956543</x:v>
      </x:c>
      <x:c r="F38" s="27" t="str">
        <x:v>PDF p6</x:v>
      </x:c>
    </x:row>
    <x:row r="39">
      <x:c r="A39" s="24" t="str">
        <x:v>资产净额</x:v>
      </x:c>
      <x:c r="B39" s="25" t="n">
        <x:v>1796406</x:v>
      </x:c>
      <x:c r="C39" s="25" t="n">
        <x:v>1745465</x:v>
      </x:c>
      <x:c r="D39" s="25" t="n">
        <x:f>IF(OR(B39="",C39=""),"",B39-C39)</x:f>
        <x:v>50941</x:v>
      </x:c>
      <x:c r="E39" s="26" t="n">
        <x:f>IFERROR(B39/C39-1,"")</x:f>
        <x:v>0.029184773112036044</x:v>
      </x:c>
      <x:c r="F39" s="27" t="str">
        <x:v>PDF p6</x:v>
      </x:c>
    </x:row>
    <x:row r="40">
      <x:c r="A40" s="31" t="str">
        <x:v>权益</x:v>
      </x:c>
      <x:c r="B40" s="32"/>
      <x:c r="C40" s="32"/>
      <x:c r="D40" s="32" t="str">
        <x:f>IF(OR(B40="",C40=""),"",B40-C40)</x:f>
      </x:c>
      <x:c r="E40" s="33" t="str">
        <x:f>IFERROR(B40/C40-1,"")</x:f>
      </x:c>
      <x:c r="F40" s="34" t="str"/>
    </x:row>
    <x:row r="41">
      <x:c r="A41" t="str">
        <x:v>股本</x:v>
      </x:c>
      <x:c r="B41" s="12" t="n">
        <x:v>181</x:v>
      </x:c>
      <x:c r="C41" s="12" t="n">
        <x:v>181</x:v>
      </x:c>
      <x:c r="D41" s="12" t="n">
        <x:f>IF(OR(B41="",C41=""),"",B41-C41)</x:f>
        <x:v>0</x:v>
      </x:c>
      <x:c r="E41" s="13" t="n">
        <x:f>IFERROR(B41/C41-1,"")</x:f>
        <x:v>0</x:v>
      </x:c>
      <x:c r="F41" s="15" t="str">
        <x:v>PDF p6</x:v>
      </x:c>
    </x:row>
    <x:row r="42">
      <x:c r="A42" t="str">
        <x:v>储备</x:v>
      </x:c>
      <x:c r="B42" s="12" t="n">
        <x:v>1715381</x:v>
      </x:c>
      <x:c r="C42" s="12" t="n">
        <x:v>1672225</x:v>
      </x:c>
      <x:c r="D42" s="12" t="n">
        <x:f>IF(OR(B42="",C42=""),"",B42-C42)</x:f>
        <x:v>43156</x:v>
      </x:c>
      <x:c r="E42" s="13" t="n">
        <x:f>IFERROR(B42/C42-1,"")</x:f>
        <x:v>0.02580753188117635</x:v>
      </x:c>
      <x:c r="F42" s="15" t="str">
        <x:v>PDF p6</x:v>
      </x:c>
    </x:row>
    <x:row r="43">
      <x:c r="A43" s="24" t="str">
        <x:v>本公司拥有人应占权益</x:v>
      </x:c>
      <x:c r="B43" s="25" t="n">
        <x:v>1715562</x:v>
      </x:c>
      <x:c r="C43" s="25" t="n">
        <x:v>1672406</x:v>
      </x:c>
      <x:c r="D43" s="25" t="n">
        <x:f>IF(OR(B43="",C43=""),"",B43-C43)</x:f>
        <x:v>43156</x:v>
      </x:c>
      <x:c r="E43" s="26" t="n">
        <x:f>IFERROR(B43/C43-1,"")</x:f>
        <x:v>0.02580473880146328</x:v>
      </x:c>
      <x:c r="F43" s="27" t="str">
        <x:v>PDF p6</x:v>
      </x:c>
    </x:row>
    <x:row r="44">
      <x:c r="A44" t="str">
        <x:v>非控股权益</x:v>
      </x:c>
      <x:c r="B44" s="12" t="n">
        <x:v>80844</x:v>
      </x:c>
      <x:c r="C44" s="12" t="n">
        <x:v>73059</x:v>
      </x:c>
      <x:c r="D44" s="12" t="n">
        <x:f>IF(OR(B44="",C44=""),"",B44-C44)</x:f>
        <x:v>7785</x:v>
      </x:c>
      <x:c r="E44" s="13" t="n">
        <x:f>IFERROR(B44/C44-1,"")</x:f>
        <x:v>0.10655771362871103</x:v>
      </x:c>
      <x:c r="F44" s="15" t="str">
        <x:v>PDF p6</x:v>
      </x:c>
    </x:row>
    <x:row r="45">
      <x:c r="A45" s="24" t="str">
        <x:v>权益总额</x:v>
      </x:c>
      <x:c r="B45" s="25" t="n">
        <x:v>1796406</x:v>
      </x:c>
      <x:c r="C45" s="25" t="n">
        <x:v>1745465</x:v>
      </x:c>
      <x:c r="D45" s="25" t="n">
        <x:f>IF(OR(B45="",C45=""),"",B45-C45)</x:f>
        <x:v>50941</x:v>
      </x:c>
      <x:c r="E45" s="26" t="n">
        <x:f>IFERROR(B45/C45-1,"")</x:f>
        <x:v>0.029184773112036044</x:v>
      </x:c>
      <x:c r="F45" s="27" t="str">
        <x:v>PDF p6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</x:cols>
  <x:sheetData>
    <x:row r="1" ht="30" customHeight="1">
      <x:c r="A1" s="3" t="str">
        <x:v>中期简明合并全面收益表</x:v>
      </x:c>
      <x:c r="B1" s="3" t="str">
        <x:v>中期简明合并全面收益表</x:v>
      </x:c>
      <x:c r="C1" s="3" t="str">
        <x:v>中期简明合并全面收益表</x:v>
      </x:c>
      <x:c r="D1" s="3" t="str">
        <x:v>中期简明合并全面收益表</x:v>
      </x:c>
      <x:c r="E1" s="3" t="str">
        <x:v>中期简明合并全面收益表</x:v>
      </x:c>
      <x:c r="F1" s="3" t="str">
        <x:v>中期简明合并全面收益表</x:v>
      </x:c>
    </x:row>
    <x:row r="2" ht="26" customHeight="1">
      <x:c r="A2" s="6" t="str">
        <x:v>截至2026年6月30日止六个月 | 人民币千元</x:v>
      </x:c>
      <x:c r="B2" s="6" t="str">
        <x:v>截至2026年6月30日止六个月 | 人民币千元</x:v>
      </x:c>
      <x:c r="C2" s="6" t="str">
        <x:v>截至2026年6月30日止六个月 | 人民币千元</x:v>
      </x:c>
      <x:c r="D2" s="6" t="str">
        <x:v>截至2026年6月30日止六个月 | 人民币千元</x:v>
      </x:c>
      <x:c r="E2" s="6" t="str">
        <x:v>截至2026年6月30日止六个月 | 人民币千元</x:v>
      </x:c>
      <x:c r="F2" s="6" t="str">
        <x:v>截至2026年6月30日止六个月 | 人民币千元</x:v>
      </x:c>
    </x:row>
    <x:row r="5" ht="28" customHeight="1">
      <x:c r="A5" s="11" t="str">
        <x:v>项目</x:v>
      </x:c>
      <x:c r="B5" s="11" t="str">
        <x:v>2026H1/期末</x:v>
      </x:c>
      <x:c r="C5" s="11" t="str">
        <x:v>2025H1/期初</x:v>
      </x:c>
      <x:c r="D5" s="11" t="str">
        <x:v>变动额</x:v>
      </x:c>
      <x:c r="E5" s="11" t="str">
        <x:v>变动率</x:v>
      </x:c>
      <x:c r="F5" s="11" t="str">
        <x:v>来源</x:v>
      </x:c>
    </x:row>
    <x:row r="7">
      <x:c r="A7" t="str">
        <x:v>期内利润</x:v>
      </x:c>
      <x:c r="B7" s="12" t="n">
        <x:v>322066</x:v>
      </x:c>
      <x:c r="C7" s="12" t="n">
        <x:v>305562</x:v>
      </x:c>
      <x:c r="D7" s="12" t="n">
        <x:f>IF(OR(B7="",C7=""),"",B7-C7)</x:f>
        <x:v>16504</x:v>
      </x:c>
      <x:c r="E7" s="13" t="n">
        <x:f>IFERROR(B7/C7-1,"")</x:f>
        <x:v>0.05401195174792672</x:v>
      </x:c>
      <x:c r="F7" s="15" t="str">
        <x:v>PDF p4</x:v>
      </x:c>
    </x:row>
    <x:row r="8">
      <x:c r="A8" t="str">
        <x:v>换算本公司财务报表的汇兑差额</x:v>
      </x:c>
      <x:c r="B8" s="12" t="n">
        <x:v>-37111</x:v>
      </x:c>
      <x:c r="C8" s="12" t="n">
        <x:v>-12514</x:v>
      </x:c>
      <x:c r="D8" s="12" t="n">
        <x:f>IF(OR(B8="",C8=""),"",B8-C8)</x:f>
        <x:v>-24597</x:v>
      </x:c>
      <x:c r="E8" s="13" t="n">
        <x:f>IFERROR(B8/C8-1,"")</x:f>
        <x:v>1.9655585743966757</x:v>
      </x:c>
      <x:c r="F8" s="15" t="str">
        <x:v>PDF p4</x:v>
      </x:c>
    </x:row>
    <x:row r="9">
      <x:c r="A9" t="str">
        <x:v>换算海外附属公司的汇兑差额</x:v>
      </x:c>
      <x:c r="B9" s="12" t="n">
        <x:v>331</x:v>
      </x:c>
      <x:c r="C9" s="12" t="n">
        <x:v>134</x:v>
      </x:c>
      <x:c r="D9" s="12" t="n">
        <x:f>IF(OR(B9="",C9=""),"",B9-C9)</x:f>
        <x:v>197</x:v>
      </x:c>
      <x:c r="E9" s="13" t="n">
        <x:f>IFERROR(B9/C9-1,"")</x:f>
        <x:v>1.4701492537313432</x:v>
      </x:c>
      <x:c r="F9" s="15" t="str">
        <x:v>PDF p4</x:v>
      </x:c>
    </x:row>
    <x:row r="10">
      <x:c r="A10" s="24" t="str">
        <x:v>期内其他全面亏损</x:v>
      </x:c>
      <x:c r="B10" s="25" t="n">
        <x:v>-36780</x:v>
      </x:c>
      <x:c r="C10" s="25" t="n">
        <x:v>-12380</x:v>
      </x:c>
      <x:c r="D10" s="25" t="n">
        <x:f>IF(OR(B10="",C10=""),"",B10-C10)</x:f>
        <x:v>-24400</x:v>
      </x:c>
      <x:c r="E10" s="26" t="n">
        <x:f>IFERROR(B10/C10-1,"")</x:f>
        <x:v>1.9709208400646205</x:v>
      </x:c>
      <x:c r="F10" s="27" t="str">
        <x:v>PDF p4</x:v>
      </x:c>
    </x:row>
    <x:row r="11">
      <x:c r="A11" s="24" t="str">
        <x:v>期内全面收益总额</x:v>
      </x:c>
      <x:c r="B11" s="25" t="n">
        <x:v>285286</x:v>
      </x:c>
      <x:c r="C11" s="25" t="n">
        <x:v>293182</x:v>
      </x:c>
      <x:c r="D11" s="25" t="n">
        <x:f>IF(OR(B11="",C11=""),"",B11-C11)</x:f>
        <x:v>-7896</x:v>
      </x:c>
      <x:c r="E11" s="26" t="n">
        <x:f>IFERROR(B11/C11-1,"")</x:f>
        <x:v>-0.026932076321192988</x:v>
      </x:c>
      <x:c r="F11" s="27" t="str">
        <x:v>PDF p4</x:v>
      </x:c>
    </x:row>
    <x:row r="12">
      <x:c r="A12" t="str">
        <x:v>本公司拥有人应占</x:v>
      </x:c>
      <x:c r="B12" s="12" t="n">
        <x:v>278223</x:v>
      </x:c>
      <x:c r="C12" s="12" t="n">
        <x:v>285327</x:v>
      </x:c>
      <x:c r="D12" s="12" t="n">
        <x:f>IF(OR(B12="",C12=""),"",B12-C12)</x:f>
        <x:v>-7104</x:v>
      </x:c>
      <x:c r="E12" s="13" t="n">
        <x:f>IFERROR(B12/C12-1,"")</x:f>
        <x:v>-0.024897748898632055</x:v>
      </x:c>
      <x:c r="F12" s="15" t="str">
        <x:v>PDF p4</x:v>
      </x:c>
    </x:row>
    <x:row r="13">
      <x:c r="A13" t="str">
        <x:v>非控股权益应占</x:v>
      </x:c>
      <x:c r="B13" s="12" t="n">
        <x:v>7063</x:v>
      </x:c>
      <x:c r="C13" s="12" t="n">
        <x:v>7855</x:v>
      </x:c>
      <x:c r="D13" s="12" t="n">
        <x:f>IF(OR(B13="",C13=""),"",B13-C13)</x:f>
        <x:v>-792</x:v>
      </x:c>
      <x:c r="E13" s="13" t="n">
        <x:f>IFERROR(B13/C13-1,"")</x:f>
        <x:v>-0.1008274984086569</x:v>
      </x:c>
      <x:c r="F13" s="15" t="str">
        <x:v>PDF p4</x:v>
      </x:c>
    </x:row>
    <x:row r="14">
      <x:c r="A14" s="24" t="str">
        <x:v>归属合计</x:v>
      </x:c>
      <x:c r="B14" s="25" t="n">
        <x:v>285286</x:v>
      </x:c>
      <x:c r="C14" s="25" t="n">
        <x:v>293182</x:v>
      </x:c>
      <x:c r="D14" s="25" t="n">
        <x:f>IF(OR(B14="",C14=""),"",B14-C14)</x:f>
        <x:v>-7896</x:v>
      </x:c>
      <x:c r="E14" s="26" t="n">
        <x:f>IFERROR(B14/C14-1,"")</x:f>
        <x:v>-0.026932076321192988</x:v>
      </x:c>
      <x:c r="F14" s="27" t="str">
        <x:v>PDF p4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4" hidden="0" customWidth="1"/>
    <x:col min="5" max="5" width="16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32" hidden="0" customWidth="1"/>
  </x:cols>
  <x:sheetData>
    <x:row r="1" ht="30" customHeight="1">
      <x:c r="A1" s="3" t="str">
        <x:v>收入、业务分部与毛利拆分</x:v>
      </x:c>
      <x:c r="B1" s="3" t="str">
        <x:v>收入、业务分部与毛利拆分</x:v>
      </x:c>
      <x:c r="C1" s="3" t="str">
        <x:v>收入、业务分部与毛利拆分</x:v>
      </x:c>
      <x:c r="D1" s="3" t="str">
        <x:v>收入、业务分部与毛利拆分</x:v>
      </x:c>
      <x:c r="E1" s="3" t="str">
        <x:v>收入、业务分部与毛利拆分</x:v>
      </x:c>
      <x:c r="F1" s="3" t="str">
        <x:v>收入、业务分部与毛利拆分</x:v>
      </x:c>
      <x:c r="G1" s="3" t="str">
        <x:v>收入、业务分部与毛利拆分</x:v>
      </x:c>
      <x:c r="H1" s="3" t="str">
        <x:v>收入、业务分部与毛利拆分</x:v>
      </x:c>
      <x:c r="I1" s="3" t="str">
        <x:v>收入、业务分部与毛利拆分</x:v>
      </x:c>
      <x:c r="J1" s="3" t="str">
        <x:v>收入、业务分部与毛利拆分</x:v>
      </x:c>
    </x:row>
    <x:row r="2" ht="26" customHeight="1">
      <x:c r="A2" s="6" t="str">
        <x:v>截至2026年6月30日止六个月 | 分部业绩为毛利；占比、增长率和利润率均为公式</x:v>
      </x:c>
      <x:c r="B2" s="6" t="str">
        <x:v>截至2026年6月30日止六个月 | 分部业绩为毛利；占比、增长率和利润率均为公式</x:v>
      </x:c>
      <x:c r="C2" s="6" t="str">
        <x:v>截至2026年6月30日止六个月 | 分部业绩为毛利；占比、增长率和利润率均为公式</x:v>
      </x:c>
      <x:c r="D2" s="6" t="str">
        <x:v>截至2026年6月30日止六个月 | 分部业绩为毛利；占比、增长率和利润率均为公式</x:v>
      </x:c>
      <x:c r="E2" s="6" t="str">
        <x:v>截至2026年6月30日止六个月 | 分部业绩为毛利；占比、增长率和利润率均为公式</x:v>
      </x:c>
      <x:c r="F2" s="6" t="str">
        <x:v>截至2026年6月30日止六个月 | 分部业绩为毛利；占比、增长率和利润率均为公式</x:v>
      </x:c>
      <x:c r="G2" s="6" t="str">
        <x:v>截至2026年6月30日止六个月 | 分部业绩为毛利；占比、增长率和利润率均为公式</x:v>
      </x:c>
      <x:c r="H2" s="6" t="str">
        <x:v>截至2026年6月30日止六个月 | 分部业绩为毛利；占比、增长率和利润率均为公式</x:v>
      </x:c>
      <x:c r="I2" s="6" t="str">
        <x:v>截至2026年6月30日止六个月 | 分部业绩为毛利；占比、增长率和利润率均为公式</x:v>
      </x:c>
      <x:c r="J2" s="6" t="str">
        <x:v>截至2026年6月30日止六个月 | 分部业绩为毛利；占比、增长率和利润率均为公式</x:v>
      </x:c>
    </x:row>
    <x:row r="4" ht="22" customHeight="1">
      <x:c r="A4" s="36" t="str">
        <x:v>业务分部（分部业绩=毛利，人民币千元）</x:v>
      </x:c>
      <x:c r="B4" s="36" t="str">
        <x:v>业务分部（分部业绩=毛利，人民币千元）</x:v>
      </x:c>
      <x:c r="C4" s="36" t="str">
        <x:v>业务分部（分部业绩=毛利，人民币千元）</x:v>
      </x:c>
      <x:c r="D4" s="36" t="str">
        <x:v>业务分部（分部业绩=毛利，人民币千元）</x:v>
      </x:c>
      <x:c r="E4" s="36" t="str">
        <x:v>业务分部（分部业绩=毛利，人民币千元）</x:v>
      </x:c>
      <x:c r="F4" s="36" t="str">
        <x:v>业务分部（分部业绩=毛利，人民币千元）</x:v>
      </x:c>
      <x:c r="G4" s="36" t="str">
        <x:v>业务分部（分部业绩=毛利，人民币千元）</x:v>
      </x:c>
      <x:c r="H4" s="36" t="str">
        <x:v>业务分部（分部业绩=毛利，人民币千元）</x:v>
      </x:c>
      <x:c r="I4" s="36" t="str">
        <x:v>业务分部（分部业绩=毛利，人民币千元）</x:v>
      </x:c>
      <x:c r="J4" s="36" t="str">
        <x:v>业务分部（分部业绩=毛利，人民币千元）</x:v>
      </x:c>
    </x:row>
    <x:row r="5" ht="28" customHeight="1">
      <x:c r="A5" s="11" t="str">
        <x:v>业务板块</x:v>
      </x:c>
      <x:c r="B5" s="11" t="str">
        <x:v>2026对外收入</x:v>
      </x:c>
      <x:c r="C5" s="11" t="str">
        <x:v>2025对外收入</x:v>
      </x:c>
      <x:c r="D5" s="11" t="str">
        <x:v>收入增长</x:v>
      </x:c>
      <x:c r="E5" s="11" t="str">
        <x:v>2026分部业绩</x:v>
      </x:c>
      <x:c r="F5" s="11" t="str">
        <x:v>2025分部业绩</x:v>
      </x:c>
      <x:c r="G5" s="11" t="str">
        <x:v>2026业绩率</x:v>
      </x:c>
      <x:c r="H5" s="11" t="str">
        <x:v>2025业绩率</x:v>
      </x:c>
      <x:c r="I5" s="11" t="str">
        <x:v>来源</x:v>
      </x:c>
      <x:c r="J5" s="11" t="str">
        <x:v>备注</x:v>
      </x:c>
    </x:row>
    <x:row r="7">
      <x:c r="A7" t="str">
        <x:v>物业管理服务</x:v>
      </x:c>
      <x:c r="B7" s="12" t="n">
        <x:v>1399901</x:v>
      </x:c>
      <x:c r="C7" s="12" t="n">
        <x:v>1158370</x:v>
      </x:c>
      <x:c r="D7" s="13" t="n">
        <x:f>IFERROR(B7/C7-1,"")</x:f>
        <x:v>0.20850937092638788</x:v>
      </x:c>
      <x:c r="E7" s="13" t="n">
        <x:v>238548</x:v>
      </x:c>
      <x:c r="F7" s="13" t="n">
        <x:v>210413</x:v>
      </x:c>
      <x:c r="G7" s="13" t="n">
        <x:f>IFERROR(E7/B7,"")</x:f>
        <x:v>0.17040347853169616</x:v>
      </x:c>
      <x:c r="H7" s="13" t="n">
        <x:f>IFERROR(F7/C7,"")</x:f>
        <x:v>0.18164576085361328</x:v>
      </x:c>
      <x:c r="I7" s="15" t="str">
        <x:v>PDF p10</x:v>
      </x:c>
      <x:c r="J7" s="15" t="str">
        <x:v>分部业绩=毛利</x:v>
      </x:c>
    </x:row>
    <x:row r="8">
      <x:c r="A8" t="str">
        <x:v>非业主增值服务</x:v>
      </x:c>
      <x:c r="B8" s="12" t="n">
        <x:v>243462</x:v>
      </x:c>
      <x:c r="C8" s="12" t="n">
        <x:v>214129</x:v>
      </x:c>
      <x:c r="D8" s="13" t="n">
        <x:f>IFERROR(B8/C8-1,"")</x:f>
        <x:v>0.13698751687067134</x:v>
      </x:c>
      <x:c r="E8" s="13" t="n">
        <x:v>77599</x:v>
      </x:c>
      <x:c r="F8" s="13" t="n">
        <x:v>74219</x:v>
      </x:c>
      <x:c r="G8" s="13" t="n">
        <x:f>IFERROR(E8/B8,"")</x:f>
        <x:v>0.3187314652800026</x:v>
      </x:c>
      <x:c r="H8" s="13" t="n">
        <x:f>IFERROR(F8/C8,"")</x:f>
        <x:v>0.34660881991696596</x:v>
      </x:c>
      <x:c r="I8" s="15" t="str">
        <x:v>PDF p10</x:v>
      </x:c>
      <x:c r="J8" s="15" t="str">
        <x:v>分部业绩=毛利</x:v>
      </x:c>
    </x:row>
    <x:row r="9">
      <x:c r="A9" t="str">
        <x:v>5S增值服务</x:v>
      </x:c>
      <x:c r="B9" s="12" t="n">
        <x:v>655028</x:v>
      </x:c>
      <x:c r="C9" s="12" t="n">
        <x:v>652542</x:v>
      </x:c>
      <x:c r="D9" s="13" t="n">
        <x:f>IFERROR(B9/C9-1,"")</x:f>
        <x:v>0.003809716462695123</x:v>
      </x:c>
      <x:c r="E9" s="13" t="n">
        <x:v>161121</x:v>
      </x:c>
      <x:c r="F9" s="13" t="n">
        <x:v>170444</x:v>
      </x:c>
      <x:c r="G9" s="13" t="n">
        <x:f>IFERROR(E9/B9,"")</x:f>
        <x:v>0.24597574454832466</x:v>
      </x:c>
      <x:c r="H9" s="13" t="n">
        <x:f>IFERROR(F9/C9,"")</x:f>
        <x:v>0.2612000453610649</x:v>
      </x:c>
      <x:c r="I9" s="15" t="str">
        <x:v>PDF p10</x:v>
      </x:c>
      <x:c r="J9" s="15" t="str">
        <x:v>分部业绩=毛利</x:v>
      </x:c>
    </x:row>
    <x:row r="10">
      <x:c r="A10" s="24" t="str">
        <x:v>分部合计</x:v>
      </x:c>
      <x:c r="B10" s="25" t="n">
        <x:v>2298391</x:v>
      </x:c>
      <x:c r="C10" s="25" t="n">
        <x:v>2025041</x:v>
      </x:c>
      <x:c r="D10" s="26" t="n">
        <x:f>IFERROR(B10/C10-1,"")</x:f>
        <x:v>0.1349849212929517</x:v>
      </x:c>
      <x:c r="E10" s="26" t="n">
        <x:v>477268</x:v>
      </x:c>
      <x:c r="F10" s="26" t="n">
        <x:v>455076</x:v>
      </x:c>
      <x:c r="G10" s="26" t="n">
        <x:f>IFERROR(E10/B10,"")</x:f>
        <x:v>0.2076530929680807</x:v>
      </x:c>
      <x:c r="H10" s="26" t="n">
        <x:f>IFERROR(F10/C10,"")</x:f>
        <x:v>0.22472433891461951</x:v>
      </x:c>
      <x:c r="I10" s="27" t="str">
        <x:v>PDF p10</x:v>
      </x:c>
      <x:c r="J10" s="27" t="str"/>
    </x:row>
    <x:row r="11">
      <x:c r="A11" t="str">
        <x:v>未分配公司开支</x:v>
      </x:c>
      <x:c r="B11" s="12" t="n">
        <x:v>0</x:v>
      </x:c>
      <x:c r="C11" s="12" t="n">
        <x:v>0</x:v>
      </x:c>
      <x:c r="D11" s="13" t="str">
        <x:f>IFERROR(B11/C11-1,"")</x:f>
      </x:c>
      <x:c r="E11" s="13" t="n">
        <x:v>-48260</x:v>
      </x:c>
      <x:c r="F11" s="13" t="n">
        <x:v>-40837</x:v>
      </x:c>
      <x:c r="G11" s="13" t="str">
        <x:f>IFERROR(E11/B11,"")</x:f>
      </x:c>
      <x:c r="H11" s="13" t="str">
        <x:f>IFERROR(F11/C11,"")</x:f>
      </x:c>
      <x:c r="I11" s="15" t="str">
        <x:v>PDF p10</x:v>
      </x:c>
      <x:c r="J11" s="15" t="str"/>
    </x:row>
    <x:row r="12">
      <x:c r="A12" t="str">
        <x:v>除所得税前利润</x:v>
      </x:c>
      <x:c r="B12" s="12" t="n">
        <x:v>0</x:v>
      </x:c>
      <x:c r="C12" s="12" t="n">
        <x:v>0</x:v>
      </x:c>
      <x:c r="D12" s="13" t="str">
        <x:f>IFERROR(B12/C12-1,"")</x:f>
      </x:c>
      <x:c r="E12" s="13" t="n">
        <x:v>429008</x:v>
      </x:c>
      <x:c r="F12" s="13" t="n">
        <x:v>414239</x:v>
      </x:c>
      <x:c r="G12" s="13" t="str">
        <x:f>IFERROR(E12/B12,"")</x:f>
      </x:c>
      <x:c r="H12" s="13" t="str">
        <x:f>IFERROR(F12/C12,"")</x:f>
      </x:c>
      <x:c r="I12" s="15" t="str">
        <x:v>PDF p10</x:v>
      </x:c>
      <x:c r="J12" s="15" t="str"/>
    </x:row>
    <x:row r="15" ht="22" customHeight="1">
      <x:c r="A15" s="36" t="str">
        <x:v>收入明细（人民币千元）</x:v>
      </x:c>
      <x:c r="B15" s="36" t="str">
        <x:v>收入明细（人民币千元）</x:v>
      </x:c>
      <x:c r="C15" s="36" t="str">
        <x:v>收入明细（人民币千元）</x:v>
      </x:c>
      <x:c r="D15" s="36" t="str">
        <x:v>收入明细（人民币千元）</x:v>
      </x:c>
      <x:c r="E15" s="36" t="str">
        <x:v>收入明细（人民币千元）</x:v>
      </x:c>
      <x:c r="F15" s="36" t="str">
        <x:v>收入明细（人民币千元）</x:v>
      </x:c>
      <x:c r="G15" s="36" t="str">
        <x:v>收入明细（人民币千元）</x:v>
      </x:c>
      <x:c r="H15" s="36" t="str">
        <x:v>收入明细（人民币千元）</x:v>
      </x:c>
      <x:c r="I15" s="36" t="str">
        <x:v>收入明细（人民币千元）</x:v>
      </x:c>
      <x:c r="J15" s="36" t="str">
        <x:v>收入明细（人民币千元）</x:v>
      </x:c>
    </x:row>
    <x:row r="16" ht="28" customHeight="1">
      <x:c r="A16" s="11" t="str">
        <x:v>收入项目</x:v>
      </x:c>
      <x:c r="B16" s="11" t="str">
        <x:v>2026H1</x:v>
      </x:c>
      <x:c r="C16" s="11" t="str">
        <x:v>2025H1</x:v>
      </x:c>
      <x:c r="D16" s="11" t="str">
        <x:v>变动额</x:v>
      </x:c>
      <x:c r="E16" s="11" t="str">
        <x:v>变动率</x:v>
      </x:c>
      <x:c r="F16" s="11" t="str">
        <x:v>2026占比</x:v>
      </x:c>
      <x:c r="G16" s="11" t="str">
        <x:v>2025占比</x:v>
      </x:c>
      <x:c r="H16" s="11" t="str">
        <x:v>来源</x:v>
      </x:c>
      <x:c r="I16" s="11" t="str">
        <x:v>备注</x:v>
      </x:c>
      <x:c r="J16" s="11" t="str"/>
    </x:row>
    <x:row r="18">
      <x:c r="A18" s="24" t="str">
        <x:v>物业管理服务</x:v>
      </x:c>
      <x:c r="B18" s="25" t="n">
        <x:v>1399901</x:v>
      </x:c>
      <x:c r="C18" s="25" t="n">
        <x:v>1158370</x:v>
      </x:c>
      <x:c r="D18" s="25" t="n">
        <x:f>B18-C18</x:f>
        <x:v>241531</x:v>
      </x:c>
      <x:c r="E18" s="26" t="n">
        <x:f>IFERROR(B18/C18-1,"")</x:f>
        <x:v>0.20850937092638788</x:v>
      </x:c>
      <x:c r="F18" s="26" t="n">
        <x:f>IFERROR(B18/$B$30,"")</x:f>
        <x:v>0.6090786989681042</x:v>
      </x:c>
      <x:c r="G18" s="26" t="n">
        <x:f>IFERROR(C18/$C$30,"")</x:f>
        <x:v>0.572022986201267</x:v>
      </x:c>
      <x:c r="H18" s="27" t="str">
        <x:v>PDF p30</x:v>
      </x:c>
      <x:c r="I18" s="27" t="str"/>
      <x:c r="J18" s="24" t="str"/>
    </x:row>
    <x:row r="19">
      <x:c r="A19" t="str">
        <x:v>  住宅物业</x:v>
      </x:c>
      <x:c r="B19" s="12" t="n">
        <x:v>1125367</x:v>
      </x:c>
      <x:c r="C19" s="12" t="n">
        <x:v>914866</x:v>
      </x:c>
      <x:c r="D19" s="12" t="n">
        <x:f>B19-C19</x:f>
        <x:v>210501</x:v>
      </x:c>
      <x:c r="E19" s="13" t="n">
        <x:f>IFERROR(B19/C19-1,"")</x:f>
        <x:v>0.2300894338624455</x:v>
      </x:c>
      <x:c r="F19" s="13" t="n">
        <x:f>IFERROR(B19/$B$30,"")</x:f>
        <x:v>0.4896325298872124</x:v>
      </x:c>
      <x:c r="G19" s="13" t="n">
        <x:f>IFERROR(C19/$C$30,"")</x:f>
        <x:v>0.45177653193194606</x:v>
      </x:c>
      <x:c r="H19" s="15" t="str">
        <x:v>PDF p30</x:v>
      </x:c>
      <x:c r="I19" s="15" t="str"/>
      <x:c r="J19" t="str"/>
    </x:row>
    <x:row r="20">
      <x:c r="A20" t="str">
        <x:v>  非住宅物业</x:v>
      </x:c>
      <x:c r="B20" s="12" t="n">
        <x:v>273362</x:v>
      </x:c>
      <x:c r="C20" s="12" t="n">
        <x:v>241858</x:v>
      </x:c>
      <x:c r="D20" s="12" t="n">
        <x:f>B20-C20</x:f>
        <x:v>31504</x:v>
      </x:c>
      <x:c r="E20" s="13" t="n">
        <x:f>IFERROR(B20/C20-1,"")</x:f>
        <x:v>0.1302582507090937</x:v>
      </x:c>
      <x:c r="F20" s="13" t="n">
        <x:f>IFERROR(B20/$B$30,"")</x:f>
        <x:v>0.11893624713984696</x:v>
      </x:c>
      <x:c r="G20" s="13" t="n">
        <x:f>IFERROR(C20/$C$30,"")</x:f>
        <x:v>0.11943363122030616</x:v>
      </x:c>
      <x:c r="H20" s="15" t="str">
        <x:v>PDF p30</x:v>
      </x:c>
      <x:c r="I20" s="15" t="str"/>
      <x:c r="J20" t="str"/>
    </x:row>
    <x:row r="21">
      <x:c r="A21" t="str">
        <x:v>  土地管理</x:v>
      </x:c>
      <x:c r="B21" s="12" t="n">
        <x:v>1172</x:v>
      </x:c>
      <x:c r="C21" s="12" t="n">
        <x:v>1646</x:v>
      </x:c>
      <x:c r="D21" s="12" t="n">
        <x:f>B21-C21</x:f>
        <x:v>-474</x:v>
      </x:c>
      <x:c r="E21" s="13" t="n">
        <x:f>IFERROR(B21/C21-1,"")</x:f>
        <x:v>-0.2879708383961118</x:v>
      </x:c>
      <x:c r="F21" s="13" t="n">
        <x:f>IFERROR(B21/$B$30,"")</x:f>
        <x:v>0.000509921941044844</x:v>
      </x:c>
      <x:c r="G21" s="13" t="n">
        <x:f>IFERROR(C21/$C$30,"")</x:f>
        <x:v>0.0008128230490148101</x:v>
      </x:c>
      <x:c r="H21" s="15" t="str">
        <x:v>PDF p30</x:v>
      </x:c>
      <x:c r="I21" s="15" t="str"/>
      <x:c r="J21" t="str"/>
    </x:row>
    <x:row r="22">
      <x:c r="A22" s="24" t="str">
        <x:v>非业主增值服务</x:v>
      </x:c>
      <x:c r="B22" s="25" t="n">
        <x:v>243462</x:v>
      </x:c>
      <x:c r="C22" s="25" t="n">
        <x:v>214129</x:v>
      </x:c>
      <x:c r="D22" s="25" t="n">
        <x:f>B22-C22</x:f>
        <x:v>29333</x:v>
      </x:c>
      <x:c r="E22" s="26" t="n">
        <x:f>IFERROR(B22/C22-1,"")</x:f>
        <x:v>0.13698751687067134</x:v>
      </x:c>
      <x:c r="F22" s="26" t="n">
        <x:f>IFERROR(B22/$B$30,"")</x:f>
        <x:v>0.10592714642547765</x:v>
      </x:c>
      <x:c r="G22" s="26" t="n">
        <x:f>IFERROR(C22/$C$30,"")</x:f>
        <x:v>0.10574057512909615</x:v>
      </x:c>
      <x:c r="H22" s="27" t="str">
        <x:v>PDF p30</x:v>
      </x:c>
      <x:c r="I22" s="27" t="str"/>
      <x:c r="J22" s="24" t="str"/>
    </x:row>
    <x:row r="23">
      <x:c r="A23" t="str">
        <x:v>  前期物业管理</x:v>
      </x:c>
      <x:c r="B23" s="12" t="n">
        <x:v>229345</x:v>
      </x:c>
      <x:c r="C23" s="12" t="n">
        <x:v>200666</x:v>
      </x:c>
      <x:c r="D23" s="12" t="n">
        <x:f>B23-C23</x:f>
        <x:v>28679</x:v>
      </x:c>
      <x:c r="E23" s="13" t="n">
        <x:f>IFERROR(B23/C23-1,"")</x:f>
        <x:v>0.1429190794653803</x:v>
      </x:c>
      <x:c r="F23" s="13" t="n">
        <x:f>IFERROR(B23/$B$30,"")</x:f>
        <x:v>0.09978502352297759</x:v>
      </x:c>
      <x:c r="G23" s="13" t="n">
        <x:f>IFERROR(C23/$C$30,"")</x:f>
        <x:v>0.09909231467412265</x:v>
      </x:c>
      <x:c r="H23" s="15" t="str">
        <x:v>PDF p30</x:v>
      </x:c>
      <x:c r="I23" s="15" t="str"/>
      <x:c r="J23" t="str"/>
    </x:row>
    <x:row r="24">
      <x:c r="A24" t="str">
        <x:v>  咨询服务</x:v>
      </x:c>
      <x:c r="B24" s="12" t="n">
        <x:v>6159</x:v>
      </x:c>
      <x:c r="C24" s="12" t="n">
        <x:v>8121</x:v>
      </x:c>
      <x:c r="D24" s="12" t="n">
        <x:f>B24-C24</x:f>
        <x:v>-1962</x:v>
      </x:c>
      <x:c r="E24" s="13" t="n">
        <x:f>IFERROR(B24/C24-1,"")</x:f>
        <x:v>-0.2415958625785002</x:v>
      </x:c>
      <x:c r="F24" s="13" t="n">
        <x:f>IFERROR(B24/$B$30,"")</x:f>
        <x:v>0.002679700712367913</x:v>
      </x:c>
      <x:c r="G24" s="13" t="n">
        <x:f>IFERROR(C24/$C$30,"")</x:f>
        <x:v>0.0040102891743920245</x:v>
      </x:c>
      <x:c r="H24" s="15" t="str">
        <x:v>PDF p30</x:v>
      </x:c>
      <x:c r="I24" s="15" t="str"/>
      <x:c r="J24" t="str"/>
    </x:row>
    <x:row r="25">
      <x:c r="A25" t="str">
        <x:v>  社区空间服务</x:v>
      </x:c>
      <x:c r="B25" s="12" t="n">
        <x:v>7958</x:v>
      </x:c>
      <x:c r="C25" s="12" t="n">
        <x:v>5342</x:v>
      </x:c>
      <x:c r="D25" s="12" t="n">
        <x:f>B25-C25</x:f>
        <x:v>2616</x:v>
      </x:c>
      <x:c r="E25" s="13" t="n">
        <x:f>IFERROR(B25/C25-1,"")</x:f>
        <x:v>0.48970423062523394</x:v>
      </x:c>
      <x:c r="F25" s="13" t="n">
        <x:f>IFERROR(B25/$B$30,"")</x:f>
        <x:v>0.0034624221901321402</x:v>
      </x:c>
      <x:c r="G25" s="13" t="n">
        <x:f>IFERROR(C25/$C$30,"")</x:f>
        <x:v>0.0026379712805814797</x:v>
      </x:c>
      <x:c r="H25" s="15" t="str">
        <x:v>PDF p30</x:v>
      </x:c>
      <x:c r="I25" s="15" t="str"/>
      <x:c r="J25" t="str"/>
    </x:row>
    <x:row r="26">
      <x:c r="A26" s="24" t="str">
        <x:v>5S增值服务</x:v>
      </x:c>
      <x:c r="B26" s="25" t="n">
        <x:v>655028</x:v>
      </x:c>
      <x:c r="C26" s="25" t="n">
        <x:v>652542</x:v>
      </x:c>
      <x:c r="D26" s="25" t="n">
        <x:f>B26-C26</x:f>
        <x:v>2486</x:v>
      </x:c>
      <x:c r="E26" s="26" t="n">
        <x:f>IFERROR(B26/C26-1,"")</x:f>
        <x:v>0.003809716462695123</x:v>
      </x:c>
      <x:c r="F26" s="26" t="n">
        <x:f>IFERROR(B26/$B$30,"")</x:f>
        <x:v>0.28499415460641814</x:v>
      </x:c>
      <x:c r="G26" s="26" t="n">
        <x:f>IFERROR(C26/$C$30,"")</x:f>
        <x:v>0.3222364386696368</x:v>
      </x:c>
      <x:c r="H26" s="27" t="str">
        <x:v>PDF p30</x:v>
      </x:c>
      <x:c r="I26" s="27" t="str"/>
      <x:c r="J26" s="24" t="str"/>
    </x:row>
    <x:row r="27">
      <x:c r="A27" t="str">
        <x:v>  优家</x:v>
      </x:c>
      <x:c r="B27" s="12" t="n">
        <x:v>63032</x:v>
      </x:c>
      <x:c r="C27" s="12" t="n">
        <x:v>47932</x:v>
      </x:c>
      <x:c r="D27" s="12" t="n">
        <x:f>B27-C27</x:f>
        <x:v>15100</x:v>
      </x:c>
      <x:c r="E27" s="13" t="n">
        <x:f>IFERROR(B27/C27-1,"")</x:f>
        <x:v>0.315029625302512</x:v>
      </x:c>
      <x:c r="F27" s="13" t="n">
        <x:f>IFERROR(B27/$B$30,"")</x:f>
        <x:v>0.02742440254943567</x:v>
      </x:c>
      <x:c r="G27" s="13" t="n">
        <x:f>IFERROR(C27/$C$30,"")</x:f>
        <x:v>0.023669644219549136</x:v>
      </x:c>
      <x:c r="H27" s="15" t="str">
        <x:v>PDF p30</x:v>
      </x:c>
      <x:c r="I27" s="15" t="str"/>
      <x:c r="J27" t="str"/>
    </x:row>
    <x:row r="28">
      <x:c r="A28" t="str">
        <x:v>  优居</x:v>
      </x:c>
      <x:c r="B28" s="12" t="n">
        <x:v>555363</x:v>
      </x:c>
      <x:c r="C28" s="12" t="n">
        <x:v>573788</x:v>
      </x:c>
      <x:c r="D28" s="12" t="n">
        <x:f>B28-C28</x:f>
        <x:v>-18425</x:v>
      </x:c>
      <x:c r="E28" s="13" t="n">
        <x:f>IFERROR(B28/C28-1,"")</x:f>
        <x:v>-0.03211116300794026</x:v>
      </x:c>
      <x:c r="F28" s="13" t="n">
        <x:f>IFERROR(B28/$B$30,"")</x:f>
        <x:v>0.24163121070348778</x:v>
      </x:c>
      <x:c r="G28" s="13" t="n">
        <x:f>IFERROR(C28/$C$30,"")</x:f>
        <x:v>0.28334636187612994</x:v>
      </x:c>
      <x:c r="H28" s="15" t="str">
        <x:v>PDF p30</x:v>
      </x:c>
      <x:c r="I28" s="15" t="str"/>
      <x:c r="J28" t="str"/>
    </x:row>
    <x:row r="29">
      <x:c r="A29" t="str">
        <x:v>  优享生活</x:v>
      </x:c>
      <x:c r="B29" s="12" t="n">
        <x:v>36633</x:v>
      </x:c>
      <x:c r="C29" s="12" t="n">
        <x:v>30822</x:v>
      </x:c>
      <x:c r="D29" s="12" t="n">
        <x:f>B29-C29</x:f>
        <x:v>5811</x:v>
      </x:c>
      <x:c r="E29" s="13" t="n">
        <x:f>IFERROR(B29/C29-1,"")</x:f>
        <x:v>0.1885341639088962</x:v>
      </x:c>
      <x:c r="F29" s="13" t="n">
        <x:f>IFERROR(B29/$B$30,"")</x:f>
        <x:v>0.015938541353494685</x:v>
      </x:c>
      <x:c r="G29" s="13" t="n">
        <x:f>IFERROR(C29/$C$30,"")</x:f>
        <x:v>0.015220432573957762</x:v>
      </x:c>
      <x:c r="H29" s="15" t="str">
        <x:v>PDF p30</x:v>
      </x:c>
      <x:c r="I29" s="15" t="str"/>
      <x:c r="J29" t="str"/>
    </x:row>
    <x:row r="30">
      <x:c r="A30" s="24" t="str">
        <x:v>收入合计</x:v>
      </x:c>
      <x:c r="B30" s="25" t="n">
        <x:v>2298391</x:v>
      </x:c>
      <x:c r="C30" s="25" t="n">
        <x:v>2025041</x:v>
      </x:c>
      <x:c r="D30" s="25" t="n">
        <x:f>B30-C30</x:f>
        <x:v>273350</x:v>
      </x:c>
      <x:c r="E30" s="26" t="n">
        <x:f>IFERROR(B30/C30-1,"")</x:f>
        <x:v>0.1349849212929517</x:v>
      </x:c>
      <x:c r="F30" s="26" t="n">
        <x:f>IFERROR(B30/$B$30,"")</x:f>
        <x:v>1</x:v>
      </x:c>
      <x:c r="G30" s="26" t="n">
        <x:f>IFERROR(C30/$C$30,"")</x:f>
        <x:v>1</x:v>
      </x:c>
      <x:c r="H30" s="27" t="str">
        <x:v>PDF p30</x:v>
      </x:c>
      <x:c r="I30" s="27" t="str"/>
      <x:c r="J30" s="24" t="str"/>
    </x:row>
    <x:row r="33" ht="22" customHeight="1">
      <x:c r="A33" s="36" t="str">
        <x:v>收入确认时间与毛利率</x:v>
      </x:c>
      <x:c r="B33" s="36" t="str">
        <x:v>收入确认时间与毛利率</x:v>
      </x:c>
      <x:c r="C33" s="36" t="str">
        <x:v>收入确认时间与毛利率</x:v>
      </x:c>
      <x:c r="D33" s="36" t="str">
        <x:v>收入确认时间与毛利率</x:v>
      </x:c>
      <x:c r="E33" s="36" t="str">
        <x:v>收入确认时间与毛利率</x:v>
      </x:c>
      <x:c r="F33" s="36" t="str">
        <x:v>收入确认时间与毛利率</x:v>
      </x:c>
      <x:c r="G33" s="36" t="str">
        <x:v>收入确认时间与毛利率</x:v>
      </x:c>
      <x:c r="H33" s="36" t="str">
        <x:v>收入确认时间与毛利率</x:v>
      </x:c>
      <x:c r="I33" s="36" t="str">
        <x:v>收入确认时间与毛利率</x:v>
      </x:c>
      <x:c r="J33" s="36" t="str">
        <x:v>收入确认时间与毛利率</x:v>
      </x:c>
    </x:row>
    <x:row r="34" ht="28" customHeight="1">
      <x:c r="A34" s="11" t="str">
        <x:v>项目</x:v>
      </x:c>
      <x:c r="B34" s="11" t="str">
        <x:v>2026H1</x:v>
      </x:c>
      <x:c r="C34" s="11" t="str">
        <x:v>2025H1</x:v>
      </x:c>
      <x:c r="D34" s="11" t="str">
        <x:v>变动额</x:v>
      </x:c>
      <x:c r="E34" s="11" t="str">
        <x:v>变动率</x:v>
      </x:c>
      <x:c r="F34" s="11" t="str">
        <x:v>单位</x:v>
      </x:c>
      <x:c r="G34" s="11" t="str">
        <x:v>来源</x:v>
      </x:c>
      <x:c r="H34" s="11" t="str">
        <x:v>备注</x:v>
      </x:c>
      <x:c r="I34" s="11" t="str"/>
      <x:c r="J34" s="11" t="str"/>
    </x:row>
    <x:row r="36">
      <x:c r="A36" t="str">
        <x:v>随时间确认收入</x:v>
      </x:c>
      <x:c r="B36" s="37" t="n">
        <x:v>2210123</x:v>
      </x:c>
      <x:c r="C36" s="37" t="n">
        <x:v>1964854</x:v>
      </x:c>
      <x:c r="D36" s="37" t="n">
        <x:f>IF(OR(B36="",C36=""),"",B36-C36)</x:f>
        <x:v>245269</x:v>
      </x:c>
      <x:c r="E36" s="13" t="n">
        <x:f>IFERROR(B36/C36-1,"")</x:f>
        <x:v>0.12482810427645008</x:v>
      </x:c>
      <x:c r="F36" t="str">
        <x:v>人民币千元</x:v>
      </x:c>
      <x:c r="G36" s="15" t="str">
        <x:v>PDF p8</x:v>
      </x:c>
      <x:c r="H36" s="15" t="str"/>
      <x:c r="I36" t="str"/>
      <x:c r="J36" t="str"/>
    </x:row>
    <x:row r="37">
      <x:c r="A37" t="str">
        <x:v>于某一时间点确认收入</x:v>
      </x:c>
      <x:c r="B37" s="37" t="n">
        <x:v>88268</x:v>
      </x:c>
      <x:c r="C37" s="37" t="n">
        <x:v>60187</x:v>
      </x:c>
      <x:c r="D37" s="37" t="n">
        <x:f>IF(OR(B37="",C37=""),"",B37-C37)</x:f>
        <x:v>28081</x:v>
      </x:c>
      <x:c r="E37" s="13" t="n">
        <x:f>IFERROR(B37/C37-1,"")</x:f>
        <x:v>0.46656254672936015</x:v>
      </x:c>
      <x:c r="F37" t="str">
        <x:v>人民币千元</x:v>
      </x:c>
      <x:c r="G37" s="15" t="str">
        <x:v>PDF p8</x:v>
      </x:c>
      <x:c r="H37" s="15" t="str"/>
      <x:c r="I37" t="str"/>
      <x:c r="J37" t="str"/>
    </x:row>
    <x:row r="38">
      <x:c r="A38" t="str">
        <x:v>物业管理服务毛利率</x:v>
      </x:c>
      <x:c r="B38" s="37" t="n">
        <x:v>0.17</x:v>
      </x:c>
      <x:c r="C38" s="37" t="n">
        <x:v>0.182</x:v>
      </x:c>
      <x:c r="D38" s="37" t="n">
        <x:f>IF(OR(B38="",C38=""),"",B38-C38)</x:f>
        <x:v>-0.011999999999999983</x:v>
      </x:c>
      <x:c r="E38" s="13" t="n">
        <x:f>IFERROR(B38/C38-1,"")</x:f>
        <x:v>-0.06593406593406581</x:v>
      </x:c>
      <x:c r="F38" t="str">
        <x:v>%</x:v>
      </x:c>
      <x:c r="G38" s="15" t="str">
        <x:v>PDF p31</x:v>
      </x:c>
      <x:c r="H38" s="15" t="str"/>
      <x:c r="I38" t="str"/>
      <x:c r="J38" t="str"/>
    </x:row>
    <x:row r="39">
      <x:c r="A39" t="str">
        <x:v>非业主增值服务毛利率</x:v>
      </x:c>
      <x:c r="B39" s="37" t="n">
        <x:v>0.319</x:v>
      </x:c>
      <x:c r="C39" s="37" t="n">
        <x:v>0.347</x:v>
      </x:c>
      <x:c r="D39" s="37" t="n">
        <x:f>IF(OR(B39="",C39=""),"",B39-C39)</x:f>
        <x:v>-0.02799999999999997</x:v>
      </x:c>
      <x:c r="E39" s="13" t="n">
        <x:f>IFERROR(B39/C39-1,"")</x:f>
        <x:v>-0.0806916426512968</x:v>
      </x:c>
      <x:c r="F39" t="str">
        <x:v>%</x:v>
      </x:c>
      <x:c r="G39" s="15" t="str">
        <x:v>PDF p31</x:v>
      </x:c>
      <x:c r="H39" s="15" t="str"/>
      <x:c r="I39" t="str"/>
      <x:c r="J39" t="str"/>
    </x:row>
    <x:row r="40">
      <x:c r="A40" t="str">
        <x:v>5S增值服务毛利率</x:v>
      </x:c>
      <x:c r="B40" s="37" t="n">
        <x:v>0.246</x:v>
      </x:c>
      <x:c r="C40" s="37" t="n">
        <x:v>0.261</x:v>
      </x:c>
      <x:c r="D40" s="37" t="n">
        <x:f>IF(OR(B40="",C40=""),"",B40-C40)</x:f>
        <x:v>-0.015000000000000013</x:v>
      </x:c>
      <x:c r="E40" s="13" t="n">
        <x:f>IFERROR(B40/C40-1,"")</x:f>
        <x:v>-0.05747126436781613</x:v>
      </x:c>
      <x:c r="F40" t="str">
        <x:v>%</x:v>
      </x:c>
      <x:c r="G40" s="15" t="str">
        <x:v>PDF p31</x:v>
      </x:c>
      <x:c r="H40" s="15" t="str"/>
      <x:c r="I40" t="str"/>
      <x:c r="J40" t="str"/>
    </x:row>
    <x:row r="41">
      <x:c r="A41" t="str">
        <x:v>综合毛利率</x:v>
      </x:c>
      <x:c r="B41" s="37" t="n">
        <x:v>0.208</x:v>
      </x:c>
      <x:c r="C41" s="37" t="n">
        <x:v>0.225</x:v>
      </x:c>
      <x:c r="D41" s="37" t="n">
        <x:f>IF(OR(B41="",C41=""),"",B41-C41)</x:f>
        <x:v>-0.017000000000000015</x:v>
      </x:c>
      <x:c r="E41" s="13" t="n">
        <x:f>IFERROR(B41/C41-1,"")</x:f>
        <x:v>-0.0755555555555556</x:v>
      </x:c>
      <x:c r="F41" t="str">
        <x:v>%</x:v>
      </x:c>
      <x:c r="G41" s="15" t="str">
        <x:v>PDF p2/p31</x:v>
      </x:c>
      <x:c r="H41" s="15" t="str"/>
      <x:c r="I41" t="str"/>
      <x:c r="J41" t="str"/>
    </x:row>
  </x:sheetData>
  <x:mergeCells>
    <x:mergeCell ref="A1:J1"/>
    <x:mergeCell ref="A2:J2"/>
    <x:mergeCell ref="A4:J4"/>
    <x:mergeCell ref="A15:J15"/>
    <x:mergeCell ref="A33:J3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7" hidden="0" customWidth="1"/>
    <x:col min="4" max="4" width="17" hidden="0" customWidth="1"/>
    <x:col min="5" max="5" width="16" hidden="0" customWidth="1"/>
    <x:col min="6" max="6" width="14" hidden="0" customWidth="1"/>
    <x:col min="7" max="7" width="22" hidden="0" customWidth="1"/>
    <x:col min="8" max="8" width="14" hidden="0" customWidth="1"/>
  </x:cols>
  <x:sheetData>
    <x:row r="1" ht="30" customHeight="1">
      <x:c r="A1" s="3" t="str">
        <x:v>经营与业务规模指标</x:v>
      </x:c>
      <x:c r="B1" s="3" t="str">
        <x:v>经营与业务规模指标</x:v>
      </x:c>
      <x:c r="C1" s="3" t="str">
        <x:v>经营与业务规模指标</x:v>
      </x:c>
      <x:c r="D1" s="3" t="str">
        <x:v>经营与业务规模指标</x:v>
      </x:c>
      <x:c r="E1" s="3" t="str">
        <x:v>经营与业务规模指标</x:v>
      </x:c>
      <x:c r="F1" s="3" t="str">
        <x:v>经营与业务规模指标</x:v>
      </x:c>
      <x:c r="G1" s="3" t="str">
        <x:v>经营与业务规模指标</x:v>
      </x:c>
      <x:c r="H1" s="3" t="str">
        <x:v>经营与业务规模指标</x:v>
      </x:c>
    </x:row>
    <x:row r="2" ht="26" customHeight="1">
      <x:c r="A2" s="6" t="str">
        <x:v>报告披露的原始经营数据；面积默认百万平方米，金额按各行单位</x:v>
      </x:c>
      <x:c r="B2" s="6" t="str">
        <x:v>报告披露的原始经营数据；面积默认百万平方米，金额按各行单位</x:v>
      </x:c>
      <x:c r="C2" s="6" t="str">
        <x:v>报告披露的原始经营数据；面积默认百万平方米，金额按各行单位</x:v>
      </x:c>
      <x:c r="D2" s="6" t="str">
        <x:v>报告披露的原始经营数据；面积默认百万平方米，金额按各行单位</x:v>
      </x:c>
      <x:c r="E2" s="6" t="str">
        <x:v>报告披露的原始经营数据；面积默认百万平方米，金额按各行单位</x:v>
      </x:c>
      <x:c r="F2" s="6" t="str">
        <x:v>报告披露的原始经营数据；面积默认百万平方米，金额按各行单位</x:v>
      </x:c>
      <x:c r="G2" s="6" t="str">
        <x:v>报告披露的原始经营数据；面积默认百万平方米，金额按各行单位</x:v>
      </x:c>
      <x:c r="H2" s="6" t="str">
        <x:v>报告披露的原始经营数据；面积默认百万平方米，金额按各行单位</x:v>
      </x:c>
    </x:row>
    <x:row r="5" ht="28" customHeight="1">
      <x:c r="A5" s="11" t="str">
        <x:v>主题</x:v>
      </x:c>
      <x:c r="B5" s="11" t="str">
        <x:v>指标</x:v>
      </x:c>
      <x:c r="C5" s="11" t="str">
        <x:v>2026H1/期末</x:v>
      </x:c>
      <x:c r="D5" s="11" t="str">
        <x:v>2025H1/期初</x:v>
      </x:c>
      <x:c r="E5" s="11" t="str">
        <x:v>变动额</x:v>
      </x:c>
      <x:c r="F5" s="11" t="str">
        <x:v>变动率</x:v>
      </x:c>
      <x:c r="G5" s="11" t="str">
        <x:v>单位</x:v>
      </x:c>
      <x:c r="H5" s="11" t="str">
        <x:v>来源</x:v>
      </x:c>
    </x:row>
    <x:row r="7">
      <x:c r="A7" t="str">
        <x:v>规模</x:v>
      </x:c>
      <x:c r="B7" t="str">
        <x:v>在管面积</x:v>
      </x:c>
      <x:c r="C7" s="37" t="n">
        <x:v>92.677</x:v>
      </x:c>
      <x:c r="D7" s="37" t="n">
        <x:v>75.083</x:v>
      </x:c>
      <x:c r="E7" s="37" t="n">
        <x:f>IF(OR(C7="",D7=""),"",C7-D7)</x:f>
        <x:v>17.59400000000001</x:v>
      </x:c>
      <x:c r="F7" s="13" t="n">
        <x:f>IFERROR(C7/D7-1,"")</x:f>
        <x:v>0.23432734440552472</x:v>
      </x:c>
      <x:c r="G7" t="str">
        <x:v>百万平方米</x:v>
      </x:c>
      <x:c r="H7" s="15" t="str">
        <x:v>PDF p2/p26</x:v>
      </x:c>
    </x:row>
    <x:row r="8">
      <x:c r="A8" t="str">
        <x:v>规模</x:v>
      </x:c>
      <x:c r="B8" t="str">
        <x:v>合约面积</x:v>
      </x:c>
      <x:c r="C8" s="37" t="n">
        <x:v>109.685</x:v>
      </x:c>
      <x:c r="D8" s="37" t="n">
        <x:v>96.355</x:v>
      </x:c>
      <x:c r="E8" s="37" t="n">
        <x:f>IF(OR(C8="",D8=""),"",C8-D8)</x:f>
        <x:v>13.329999999999998</x:v>
      </x:c>
      <x:c r="F8" s="13" t="n">
        <x:f>IFERROR(C8/D8-1,"")</x:f>
        <x:v>0.13834258730735294</x:v>
      </x:c>
      <x:c r="G8" t="str">
        <x:v>百万平方米</x:v>
      </x:c>
      <x:c r="H8" s="15" t="str">
        <x:v>PDF p2</x:v>
      </x:c>
    </x:row>
    <x:row r="9">
      <x:c r="A9" t="str">
        <x:v>规模</x:v>
      </x:c>
      <x:c r="B9" t="str">
        <x:v>在管项目数</x:v>
      </x:c>
      <x:c r="C9" s="37" t="n">
        <x:v>577</x:v>
      </x:c>
      <x:c r="D9" s="37" t="n">
        <x:v>470</x:v>
      </x:c>
      <x:c r="E9" s="37" t="n">
        <x:f>IF(OR(C9="",D9=""),"",C9-D9)</x:f>
        <x:v>107</x:v>
      </x:c>
      <x:c r="F9" s="13" t="n">
        <x:f>IFERROR(C9/D9-1,"")</x:f>
        <x:v>0.22765957446808516</x:v>
      </x:c>
      <x:c r="G9" t="str">
        <x:v>个</x:v>
      </x:c>
      <x:c r="H9" s="15" t="str">
        <x:v>PDF p26</x:v>
      </x:c>
    </x:row>
    <x:row r="10">
      <x:c r="A10" t="str">
        <x:v>规模</x:v>
      </x:c>
      <x:c r="B10" t="str">
        <x:v>住宅在管面积</x:v>
      </x:c>
      <x:c r="C10" s="37" t="n">
        <x:v>80.302</x:v>
      </x:c>
      <x:c r="D10" s="37" t="n">
        <x:v>64.238</x:v>
      </x:c>
      <x:c r="E10" s="37" t="n">
        <x:f>IF(OR(C10="",D10=""),"",C10-D10)</x:f>
        <x:v>16.064000000000007</x:v>
      </x:c>
      <x:c r="F10" s="13" t="n">
        <x:f>IFERROR(C10/D10-1,"")</x:f>
        <x:v>0.2500700519941468</x:v>
      </x:c>
      <x:c r="G10" t="str">
        <x:v>百万平方米</x:v>
      </x:c>
      <x:c r="H10" s="15" t="str">
        <x:v>PDF p26</x:v>
      </x:c>
    </x:row>
    <x:row r="11">
      <x:c r="A11" t="str">
        <x:v>规模</x:v>
      </x:c>
      <x:c r="B11" t="str">
        <x:v>非住宅在管面积</x:v>
      </x:c>
      <x:c r="C11" s="37" t="n">
        <x:v>12.375</x:v>
      </x:c>
      <x:c r="D11" s="37" t="n">
        <x:v>10.846</x:v>
      </x:c>
      <x:c r="E11" s="37" t="n">
        <x:f>IF(OR(C11="",D11=""),"",C11-D11)</x:f>
        <x:v>1.529</x:v>
      </x:c>
      <x:c r="F11" s="13" t="n">
        <x:f>IFERROR(C11/D11-1,"")</x:f>
        <x:v>0.14097363083164294</x:v>
      </x:c>
      <x:c r="G11" t="str">
        <x:v>百万平方米</x:v>
      </x:c>
      <x:c r="H11" s="15" t="str">
        <x:v>PDF p26</x:v>
      </x:c>
    </x:row>
    <x:row r="12">
      <x:c r="A12" t="str">
        <x:v>来源</x:v>
      </x:c>
      <x:c r="B12" t="str">
        <x:v>滨江集团来源在管面积</x:v>
      </x:c>
      <x:c r="C12" s="37" t="n">
        <x:v>39.949</x:v>
      </x:c>
      <x:c r="D12" s="37" t="n">
        <x:v>33.416</x:v>
      </x:c>
      <x:c r="E12" s="37" t="n">
        <x:f>IF(OR(C12="",D12=""),"",C12-D12)</x:f>
        <x:v>6.533000000000001</x:v>
      </x:c>
      <x:c r="F12" s="13" t="n">
        <x:f>IFERROR(C12/D12-1,"")</x:f>
        <x:v>0.19550514723485768</x:v>
      </x:c>
      <x:c r="G12" t="str">
        <x:v>百万平方米</x:v>
      </x:c>
      <x:c r="H12" s="15" t="str">
        <x:v>PDF p26</x:v>
      </x:c>
    </x:row>
    <x:row r="13">
      <x:c r="A13" t="str">
        <x:v>来源</x:v>
      </x:c>
      <x:c r="B13" t="str">
        <x:v>独立第三方来源在管面积</x:v>
      </x:c>
      <x:c r="C13" s="37" t="n">
        <x:v>52.728</x:v>
      </x:c>
      <x:c r="D13" s="37" t="n">
        <x:v>41.667</x:v>
      </x:c>
      <x:c r="E13" s="37" t="n">
        <x:f>IF(OR(C13="",D13=""),"",C13-D13)</x:f>
        <x:v>11.061</x:v>
      </x:c>
      <x:c r="F13" s="13" t="n">
        <x:f>IFERROR(C13/D13-1,"")</x:f>
        <x:v>0.26546187630498963</x:v>
      </x:c>
      <x:c r="G13" t="str">
        <x:v>百万平方米</x:v>
      </x:c>
      <x:c r="H13" s="15" t="str">
        <x:v>PDF p26</x:v>
      </x:c>
    </x:row>
    <x:row r="14">
      <x:c r="A14" t="str">
        <x:v>区域</x:v>
      </x:c>
      <x:c r="B14" t="str">
        <x:v>杭州在管面积</x:v>
      </x:c>
      <x:c r="C14" s="37" t="n">
        <x:v>59.751</x:v>
      </x:c>
      <x:c r="D14" s="37" t="n">
        <x:v>47.746</x:v>
      </x:c>
      <x:c r="E14" s="37" t="n">
        <x:f>IF(OR(C14="",D14=""),"",C14-D14)</x:f>
        <x:v>12.004999999999995</x:v>
      </x:c>
      <x:c r="F14" s="13" t="n">
        <x:f>IFERROR(C14/D14-1,"")</x:f>
        <x:v>0.2514346751560339</x:v>
      </x:c>
      <x:c r="G14" t="str">
        <x:v>百万平方米</x:v>
      </x:c>
      <x:c r="H14" s="15" t="str">
        <x:v>PDF p27</x:v>
      </x:c>
    </x:row>
    <x:row r="15">
      <x:c r="A15" t="str">
        <x:v>区域</x:v>
      </x:c>
      <x:c r="B15" t="str">
        <x:v>浙江省内（杭州外）在管面积</x:v>
      </x:c>
      <x:c r="C15" s="37" t="n">
        <x:v>30.044</x:v>
      </x:c>
      <x:c r="D15" s="37" t="n">
        <x:v>24.944</x:v>
      </x:c>
      <x:c r="E15" s="37" t="n">
        <x:f>IF(OR(C15="",D15=""),"",C15-D15)</x:f>
        <x:v>5.100000000000001</x:v>
      </x:c>
      <x:c r="F15" s="13" t="n">
        <x:f>IFERROR(C15/D15-1,"")</x:f>
        <x:v>0.20445798588839015</x:v>
      </x:c>
      <x:c r="G15" t="str">
        <x:v>百万平方米</x:v>
      </x:c>
      <x:c r="H15" s="15" t="str">
        <x:v>PDF p27</x:v>
      </x:c>
    </x:row>
    <x:row r="16">
      <x:c r="A16" t="str">
        <x:v>区域</x:v>
      </x:c>
      <x:c r="B16" t="str">
        <x:v>浙江省外在管面积</x:v>
      </x:c>
      <x:c r="C16" s="37" t="n">
        <x:v>2.882</x:v>
      </x:c>
      <x:c r="D16" s="37" t="n">
        <x:v>2.393</x:v>
      </x:c>
      <x:c r="E16" s="37" t="n">
        <x:f>IF(OR(C16="",D16=""),"",C16-D16)</x:f>
        <x:v>0.4890000000000003</x:v>
      </x:c>
      <x:c r="F16" s="13" t="n">
        <x:f>IFERROR(C16/D16-1,"")</x:f>
        <x:v>0.20434600919348123</x:v>
      </x:c>
      <x:c r="G16" t="str">
        <x:v>百万平方米</x:v>
      </x:c>
      <x:c r="H16" s="15" t="str">
        <x:v>PDF p27</x:v>
      </x:c>
    </x:row>
    <x:row r="17">
      <x:c r="A17" t="str">
        <x:v>收费</x:v>
      </x:c>
      <x:c r="B17" t="str">
        <x:v>平均物业管理费</x:v>
      </x:c>
      <x:c r="C17" s="37" t="n">
        <x:v>4.18</x:v>
      </x:c>
      <x:c r="D17" s="37" t="n">
        <x:v>4.2</x:v>
      </x:c>
      <x:c r="E17" s="37" t="n">
        <x:f>IF(OR(C17="",D17=""),"",C17-D17)</x:f>
        <x:v>-0.020000000000000462</x:v>
      </x:c>
      <x:c r="F17" s="13" t="n">
        <x:f>IFERROR(C17/D17-1,"")</x:f>
        <x:v>-0.004761904761904856</x:v>
      </x:c>
      <x:c r="G17" t="str">
        <x:v>人民币元/平方米/月</x:v>
      </x:c>
      <x:c r="H17" s="15" t="str">
        <x:v>PDF p23</x:v>
      </x:c>
    </x:row>
    <x:row r="18">
      <x:c r="A18" t="str">
        <x:v>网络</x:v>
      </x:c>
      <x:c r="B18" t="str">
        <x:v>覆盖城市</x:v>
      </x:c>
      <x:c r="C18" s="37" t="n">
        <x:v>21</x:v>
      </x:c>
      <x:c r="D18" s="37"/>
      <x:c r="E18" s="37" t="str">
        <x:f>IF(OR(C18="",D18=""),"",C18-D18)</x:f>
      </x:c>
      <x:c r="F18" s="13" t="str">
        <x:f>IFERROR(C18/D18-1,"")</x:f>
      </x:c>
      <x:c r="G18" t="str">
        <x:v>个</x:v>
      </x:c>
      <x:c r="H18" s="15" t="str">
        <x:v>PDF p23</x:v>
      </x:c>
    </x:row>
    <x:row r="19">
      <x:c r="A19" t="str">
        <x:v>客户</x:v>
      </x:c>
      <x:c r="B19" t="str">
        <x:v>服务家庭</x:v>
      </x:c>
      <x:c r="C19" s="37" t="n">
        <x:v>400000</x:v>
      </x:c>
      <x:c r="D19" s="37"/>
      <x:c r="E19" s="37" t="str">
        <x:f>IF(OR(C19="",D19=""),"",C19-D19)</x:f>
      </x:c>
      <x:c r="F19" s="13" t="str">
        <x:f>IFERROR(C19/D19-1,"")</x:f>
      </x:c>
      <x:c r="G19" t="str">
        <x:v>户</x:v>
      </x:c>
      <x:c r="H19" s="15" t="str">
        <x:v>PDF p23</x:v>
      </x:c>
    </x:row>
    <x:row r="20">
      <x:c r="A20" t="str">
        <x:v>人力</x:v>
      </x:c>
      <x:c r="B20" t="str">
        <x:v>员工人数</x:v>
      </x:c>
      <x:c r="C20" s="37" t="n">
        <x:v>18288</x:v>
      </x:c>
      <x:c r="D20" s="37" t="n">
        <x:v>16853</x:v>
      </x:c>
      <x:c r="E20" s="37" t="n">
        <x:f>IF(OR(C20="",D20=""),"",C20-D20)</x:f>
        <x:v>1435</x:v>
      </x:c>
      <x:c r="F20" s="13" t="n">
        <x:f>IFERROR(C20/D20-1,"")</x:f>
        <x:v>0.08514804485848226</x:v>
      </x:c>
      <x:c r="G20" t="str">
        <x:v>人</x:v>
      </x:c>
      <x:c r="H20" s="15" t="str">
        <x:v>PDF p34</x:v>
      </x:c>
    </x:row>
    <x:row r="21">
      <x:c r="A21" t="str">
        <x:v>人力</x:v>
      </x:c>
      <x:c r="B21" t="str">
        <x:v>员工成本</x:v>
      </x:c>
      <x:c r="C21" s="37" t="n">
        <x:v>831.4</x:v>
      </x:c>
      <x:c r="D21" s="37" t="n">
        <x:v>703.2</x:v>
      </x:c>
      <x:c r="E21" s="37" t="n">
        <x:f>IF(OR(C21="",D21=""),"",C21-D21)</x:f>
        <x:v>128.19999999999993</x:v>
      </x:c>
      <x:c r="F21" s="13" t="n">
        <x:f>IFERROR(C21/D21-1,"")</x:f>
        <x:v>0.18230944254835024</x:v>
      </x:c>
      <x:c r="G21" t="str">
        <x:v>人民币百万元</x:v>
      </x:c>
      <x:c r="H21" s="15" t="str">
        <x:v>PDF p34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</x:cols>
  <x:sheetData>
    <x:row r="1" ht="30" customHeight="1">
      <x:c r="A1" s="3" t="str">
        <x:v>营运资本、账龄与往来款项</x:v>
      </x:c>
      <x:c r="B1" s="3" t="str">
        <x:v>营运资本、账龄与往来款项</x:v>
      </x:c>
      <x:c r="C1" s="3" t="str">
        <x:v>营运资本、账龄与往来款项</x:v>
      </x:c>
      <x:c r="D1" s="3" t="str">
        <x:v>营运资本、账龄与往来款项</x:v>
      </x:c>
      <x:c r="E1" s="3" t="str">
        <x:v>营运资本、账龄与往来款项</x:v>
      </x:c>
      <x:c r="F1" s="3" t="str">
        <x:v>营运资本、账龄与往来款项</x:v>
      </x:c>
    </x:row>
    <x:row r="2" ht="26" customHeight="1">
      <x:c r="A2" s="6" t="str">
        <x:v>2026年6月30日对2025年12月31日 | 人民币千元</x:v>
      </x:c>
      <x:c r="B2" s="6" t="str">
        <x:v>2026年6月30日对2025年12月31日 | 人民币千元</x:v>
      </x:c>
      <x:c r="C2" s="6" t="str">
        <x:v>2026年6月30日对2025年12月31日 | 人民币千元</x:v>
      </x:c>
      <x:c r="D2" s="6" t="str">
        <x:v>2026年6月30日对2025年12月31日 | 人民币千元</x:v>
      </x:c>
      <x:c r="E2" s="6" t="str">
        <x:v>2026年6月30日对2025年12月31日 | 人民币千元</x:v>
      </x:c>
      <x:c r="F2" s="6" t="str">
        <x:v>2026年6月30日对2025年12月31日 | 人民币千元</x:v>
      </x:c>
    </x:row>
    <x:row r="4" ht="22" customHeight="1">
      <x:c r="A4" s="36" t="str">
        <x:v>贸易及其他应收款</x:v>
      </x:c>
      <x:c r="B4" s="36" t="str">
        <x:v>贸易及其他应收款</x:v>
      </x:c>
      <x:c r="C4" s="36" t="str">
        <x:v>贸易及其他应收款</x:v>
      </x:c>
      <x:c r="D4" s="36" t="str">
        <x:v>贸易及其他应收款</x:v>
      </x:c>
      <x:c r="E4" s="36" t="str">
        <x:v>贸易及其他应收款</x:v>
      </x:c>
      <x:c r="F4" s="36" t="str">
        <x:v>贸易及其他应收款</x:v>
      </x:c>
    </x:row>
    <x:row r="5" ht="28" customHeight="1">
      <x:c r="A5" s="11" t="str">
        <x:v>项目</x:v>
      </x:c>
      <x:c r="B5" s="11" t="str">
        <x:v>2026-06-30</x:v>
      </x:c>
      <x:c r="C5" s="11" t="str">
        <x:v>2025-12-31</x:v>
      </x:c>
      <x:c r="D5" s="11" t="str">
        <x:v>变动额</x:v>
      </x:c>
      <x:c r="E5" s="11" t="str">
        <x:v>变动率</x:v>
      </x:c>
      <x:c r="F5" s="11" t="str">
        <x:v>来源</x:v>
      </x:c>
    </x:row>
    <x:row r="7">
      <x:c r="A7" t="str">
        <x:v>第三方贸易应收款</x:v>
      </x:c>
      <x:c r="B7" s="12" t="n">
        <x:v>776520</x:v>
      </x:c>
      <x:c r="C7" s="12" t="n">
        <x:v>448199</x:v>
      </x:c>
      <x:c r="D7" s="12" t="n">
        <x:f>IF(OR(B7="",C7=""),"",B7-C7)</x:f>
        <x:v>328321</x:v>
      </x:c>
      <x:c r="E7" s="13" t="n">
        <x:f>IFERROR(B7/C7-1,"")</x:f>
        <x:v>0.732533986019603</x:v>
      </x:c>
      <x:c r="F7" s="15" t="str">
        <x:v>PDF p15</x:v>
      </x:c>
    </x:row>
    <x:row r="8">
      <x:c r="A8" t="str">
        <x:v>关联方贸易应收款</x:v>
      </x:c>
      <x:c r="B8" s="12" t="n">
        <x:v>102240</x:v>
      </x:c>
      <x:c r="C8" s="12" t="n">
        <x:v>73040</x:v>
      </x:c>
      <x:c r="D8" s="12" t="n">
        <x:f>IF(OR(B8="",C8=""),"",B8-C8)</x:f>
        <x:v>29200</x:v>
      </x:c>
      <x:c r="E8" s="13" t="n">
        <x:f>IFERROR(B8/C8-1,"")</x:f>
        <x:v>0.39978094194961655</x:v>
      </x:c>
      <x:c r="F8" s="15" t="str">
        <x:v>PDF p15</x:v>
      </x:c>
    </x:row>
    <x:row r="9">
      <x:c r="A9" s="24" t="str">
        <x:v>贸易应收款总额</x:v>
      </x:c>
      <x:c r="B9" s="25" t="n">
        <x:v>878760</x:v>
      </x:c>
      <x:c r="C9" s="25" t="n">
        <x:v>521239</x:v>
      </x:c>
      <x:c r="D9" s="25" t="n">
        <x:f>IF(OR(B9="",C9=""),"",B9-C9)</x:f>
        <x:v>357521</x:v>
      </x:c>
      <x:c r="E9" s="26" t="n">
        <x:f>IFERROR(B9/C9-1,"")</x:f>
        <x:v>0.6859060814712636</x:v>
      </x:c>
      <x:c r="F9" s="27" t="str">
        <x:v>PDF p15</x:v>
      </x:c>
    </x:row>
    <x:row r="10">
      <x:c r="A10" s="24" t="str">
        <x:v>减：贸易应收款减值拨备</x:v>
      </x:c>
      <x:c r="B10" s="25" t="n">
        <x:v>-147738</x:v>
      </x:c>
      <x:c r="C10" s="25" t="n">
        <x:v>-115482</x:v>
      </x:c>
      <x:c r="D10" s="25" t="n">
        <x:f>IF(OR(B10="",C10=""),"",B10-C10)</x:f>
        <x:v>-32256</x:v>
      </x:c>
      <x:c r="E10" s="26" t="n">
        <x:f>IFERROR(B10/C10-1,"")</x:f>
        <x:v>0.2793162570790253</x:v>
      </x:c>
      <x:c r="F10" s="27" t="str">
        <x:v>PDF p15</x:v>
      </x:c>
    </x:row>
    <x:row r="11">
      <x:c r="A11" s="24" t="str">
        <x:v>贸易应收款净额</x:v>
      </x:c>
      <x:c r="B11" s="25" t="n">
        <x:v>731022</x:v>
      </x:c>
      <x:c r="C11" s="25" t="n">
        <x:v>405757</x:v>
      </x:c>
      <x:c r="D11" s="25" t="n">
        <x:f>IF(OR(B11="",C11=""),"",B11-C11)</x:f>
        <x:v>325265</x:v>
      </x:c>
      <x:c r="E11" s="26" t="n">
        <x:f>IFERROR(B11/C11-1,"")</x:f>
        <x:v>0.8016251105957506</x:v>
      </x:c>
      <x:c r="F11" s="27" t="str">
        <x:v>PDF p15</x:v>
      </x:c>
    </x:row>
    <x:row r="12">
      <x:c r="A12" t="str">
        <x:v>关联方其他应收款</x:v>
      </x:c>
      <x:c r="B12" s="12" t="n">
        <x:v>1806</x:v>
      </x:c>
      <x:c r="C12" s="12" t="n">
        <x:v>1861</x:v>
      </x:c>
      <x:c r="D12" s="12" t="n">
        <x:f>IF(OR(B12="",C12=""),"",B12-C12)</x:f>
        <x:v>-55</x:v>
      </x:c>
      <x:c r="E12" s="13" t="n">
        <x:f>IFERROR(B12/C12-1,"")</x:f>
        <x:v>-0.02955400322407309</x:v>
      </x:c>
      <x:c r="F12" s="15" t="str">
        <x:v>PDF p15</x:v>
      </x:c>
    </x:row>
    <x:row r="13">
      <x:c r="A13" t="str">
        <x:v>向关联方预付款</x:v>
      </x:c>
      <x:c r="B13" s="12" t="n">
        <x:v>28894</x:v>
      </x:c>
      <x:c r="C13" s="12" t="n">
        <x:v>24783</x:v>
      </x:c>
      <x:c r="D13" s="12" t="n">
        <x:f>IF(OR(B13="",C13=""),"",B13-C13)</x:f>
        <x:v>4111</x:v>
      </x:c>
      <x:c r="E13" s="13" t="n">
        <x:f>IFERROR(B13/C13-1,"")</x:f>
        <x:v>0.16587983698503006</x:v>
      </x:c>
      <x:c r="F13" s="15" t="str">
        <x:v>PDF p15</x:v>
      </x:c>
    </x:row>
    <x:row r="14">
      <x:c r="A14" t="str">
        <x:v>按金及预付款</x:v>
      </x:c>
      <x:c r="B14" s="12" t="n">
        <x:v>182616</x:v>
      </x:c>
      <x:c r="C14" s="12" t="n">
        <x:v>209719</x:v>
      </x:c>
      <x:c r="D14" s="12" t="n">
        <x:f>IF(OR(B14="",C14=""),"",B14-C14)</x:f>
        <x:v>-27103</x:v>
      </x:c>
      <x:c r="E14" s="13" t="n">
        <x:f>IFERROR(B14/C14-1,"")</x:f>
        <x:v>-0.12923483327690866</x:v>
      </x:c>
      <x:c r="F14" s="15" t="str">
        <x:v>PDF p15</x:v>
      </x:c>
    </x:row>
    <x:row r="15">
      <x:c r="A15" t="str">
        <x:v>代业主付款</x:v>
      </x:c>
      <x:c r="B15" s="12" t="n">
        <x:v>86065</x:v>
      </x:c>
      <x:c r="C15" s="12" t="n">
        <x:v>63166</x:v>
      </x:c>
      <x:c r="D15" s="12" t="n">
        <x:f>IF(OR(B15="",C15=""),"",B15-C15)</x:f>
        <x:v>22899</x:v>
      </x:c>
      <x:c r="E15" s="13" t="n">
        <x:f>IFERROR(B15/C15-1,"")</x:f>
        <x:v>0.36252097647468573</x:v>
      </x:c>
      <x:c r="F15" s="15" t="str">
        <x:v>PDF p15</x:v>
      </x:c>
    </x:row>
    <x:row r="16">
      <x:c r="A16" t="str">
        <x:v>员工垫款</x:v>
      </x:c>
      <x:c r="B16" s="12" t="n">
        <x:v>10939</x:v>
      </x:c>
      <x:c r="C16" s="12" t="n">
        <x:v>9615</x:v>
      </x:c>
      <x:c r="D16" s="12" t="n">
        <x:f>IF(OR(B16="",C16=""),"",B16-C16)</x:f>
        <x:v>1324</x:v>
      </x:c>
      <x:c r="E16" s="13" t="n">
        <x:f>IFERROR(B16/C16-1,"")</x:f>
        <x:v>0.13770150806032233</x:v>
      </x:c>
      <x:c r="F16" s="15" t="str">
        <x:v>PDF p15</x:v>
      </x:c>
    </x:row>
    <x:row r="17">
      <x:c r="A17" t="str">
        <x:v>其他应收款</x:v>
      </x:c>
      <x:c r="B17" s="12" t="n">
        <x:v>36402</x:v>
      </x:c>
      <x:c r="C17" s="12" t="n">
        <x:v>45459</x:v>
      </x:c>
      <x:c r="D17" s="12" t="n">
        <x:f>IF(OR(B17="",C17=""),"",B17-C17)</x:f>
        <x:v>-9057</x:v>
      </x:c>
      <x:c r="E17" s="13" t="n">
        <x:f>IFERROR(B17/C17-1,"")</x:f>
        <x:v>-0.19923447502144787</x:v>
      </x:c>
      <x:c r="F17" s="15" t="str">
        <x:v>PDF p15</x:v>
      </x:c>
    </x:row>
    <x:row r="18">
      <x:c r="A18" s="24" t="str">
        <x:v>贸易及其他应收款合计</x:v>
      </x:c>
      <x:c r="B18" s="25" t="n">
        <x:v>1077744</x:v>
      </x:c>
      <x:c r="C18" s="25" t="n">
        <x:v>760360</x:v>
      </x:c>
      <x:c r="D18" s="25" t="n">
        <x:f>IF(OR(B18="",C18=""),"",B18-C18)</x:f>
        <x:v>317384</x:v>
      </x:c>
      <x:c r="E18" s="26" t="n">
        <x:f>IFERROR(B18/C18-1,"")</x:f>
        <x:v>0.4174128044610448</x:v>
      </x:c>
      <x:c r="F18" s="27" t="str">
        <x:v>PDF p15</x:v>
      </x:c>
    </x:row>
    <x:row r="21" ht="22" customHeight="1">
      <x:c r="A21" s="36" t="str">
        <x:v>贸易应收款账龄（净额）</x:v>
      </x:c>
      <x:c r="B21" s="36" t="str">
        <x:v>贸易应收款账龄（净额）</x:v>
      </x:c>
      <x:c r="C21" s="36" t="str">
        <x:v>贸易应收款账龄（净额）</x:v>
      </x:c>
      <x:c r="D21" s="36" t="str">
        <x:v>贸易应收款账龄（净额）</x:v>
      </x:c>
      <x:c r="E21" s="36" t="str">
        <x:v>贸易应收款账龄（净额）</x:v>
      </x:c>
      <x:c r="F21" s="36" t="str">
        <x:v>贸易应收款账龄（净额）</x:v>
      </x:c>
    </x:row>
    <x:row r="22" ht="28" customHeight="1">
      <x:c r="A22" s="11" t="str">
        <x:v>项目</x:v>
      </x:c>
      <x:c r="B22" s="11" t="str">
        <x:v>2026-06-30</x:v>
      </x:c>
      <x:c r="C22" s="11" t="str">
        <x:v>2025-12-31</x:v>
      </x:c>
      <x:c r="D22" s="11" t="str">
        <x:v>变动额</x:v>
      </x:c>
      <x:c r="E22" s="11" t="str">
        <x:v>变动率</x:v>
      </x:c>
      <x:c r="F22" s="11" t="str">
        <x:v>来源</x:v>
      </x:c>
    </x:row>
    <x:row r="24">
      <x:c r="A24" t="str">
        <x:v>1年以内</x:v>
      </x:c>
      <x:c r="B24" s="12" t="n">
        <x:v>691687</x:v>
      </x:c>
      <x:c r="C24" s="12" t="n">
        <x:v>373364</x:v>
      </x:c>
      <x:c r="D24" s="12" t="n">
        <x:f>IF(OR(B24="",C24=""),"",B24-C24)</x:f>
        <x:v>318323</x:v>
      </x:c>
      <x:c r="E24" s="13" t="n">
        <x:f>IFERROR(B24/C24-1,"")</x:f>
        <x:v>0.852580859429404</x:v>
      </x:c>
      <x:c r="F24" s="15" t="str">
        <x:v>PDF p16</x:v>
      </x:c>
    </x:row>
    <x:row r="25">
      <x:c r="A25" t="str">
        <x:v>1至2年</x:v>
      </x:c>
      <x:c r="B25" s="12" t="n">
        <x:v>39335</x:v>
      </x:c>
      <x:c r="C25" s="12" t="n">
        <x:v>32393</x:v>
      </x:c>
      <x:c r="D25" s="12" t="n">
        <x:f>IF(OR(B25="",C25=""),"",B25-C25)</x:f>
        <x:v>6942</x:v>
      </x:c>
      <x:c r="E25" s="13" t="n">
        <x:f>IFERROR(B25/C25-1,"")</x:f>
        <x:v>0.214305559843176</x:v>
      </x:c>
      <x:c r="F25" s="15" t="str">
        <x:v>PDF p16</x:v>
      </x:c>
    </x:row>
    <x:row r="26">
      <x:c r="A26" s="24" t="str">
        <x:v>账龄合计</x:v>
      </x:c>
      <x:c r="B26" s="25" t="n">
        <x:v>731022</x:v>
      </x:c>
      <x:c r="C26" s="25" t="n">
        <x:v>405757</x:v>
      </x:c>
      <x:c r="D26" s="25" t="n">
        <x:f>IF(OR(B26="",C26=""),"",B26-C26)</x:f>
        <x:v>325265</x:v>
      </x:c>
      <x:c r="E26" s="26" t="n">
        <x:f>IFERROR(B26/C26-1,"")</x:f>
        <x:v>0.8016251105957506</x:v>
      </x:c>
      <x:c r="F26" s="27" t="str">
        <x:v>PDF p16</x:v>
      </x:c>
    </x:row>
    <x:row r="29" ht="22" customHeight="1">
      <x:c r="A29" s="36" t="str">
        <x:v>合同负债</x:v>
      </x:c>
      <x:c r="B29" s="36" t="str">
        <x:v>合同负债</x:v>
      </x:c>
      <x:c r="C29" s="36" t="str">
        <x:v>合同负债</x:v>
      </x:c>
      <x:c r="D29" s="36" t="str">
        <x:v>合同负债</x:v>
      </x:c>
      <x:c r="E29" s="36" t="str">
        <x:v>合同负债</x:v>
      </x:c>
      <x:c r="F29" s="36" t="str">
        <x:v>合同负债</x:v>
      </x:c>
    </x:row>
    <x:row r="30" ht="28" customHeight="1">
      <x:c r="A30" s="11" t="str">
        <x:v>项目</x:v>
      </x:c>
      <x:c r="B30" s="11" t="str">
        <x:v>2026-06-30</x:v>
      </x:c>
      <x:c r="C30" s="11" t="str">
        <x:v>2025-12-31</x:v>
      </x:c>
      <x:c r="D30" s="11" t="str">
        <x:v>变动额</x:v>
      </x:c>
      <x:c r="E30" s="11" t="str">
        <x:v>变动率</x:v>
      </x:c>
      <x:c r="F30" s="11" t="str">
        <x:v>来源</x:v>
      </x:c>
    </x:row>
    <x:row r="32">
      <x:c r="A32" t="str">
        <x:v>物业管理服务</x:v>
      </x:c>
      <x:c r="B32" s="12" t="n">
        <x:v>750464</x:v>
      </x:c>
      <x:c r="C32" s="12" t="n">
        <x:v>323104</x:v>
      </x:c>
      <x:c r="D32" s="12" t="n">
        <x:f>IF(OR(B32="",C32=""),"",B32-C32)</x:f>
        <x:v>427360</x:v>
      </x:c>
      <x:c r="E32" s="13" t="n">
        <x:f>IFERROR(B32/C32-1,"")</x:f>
        <x:v>1.3226701000297116</x:v>
      </x:c>
      <x:c r="F32" s="15" t="str">
        <x:v>PDF p16</x:v>
      </x:c>
    </x:row>
    <x:row r="33">
      <x:c r="A33" t="str">
        <x:v>非业主增值服务</x:v>
      </x:c>
      <x:c r="B33" s="12" t="n">
        <x:v>7096</x:v>
      </x:c>
      <x:c r="C33" s="12" t="n">
        <x:v>1028</x:v>
      </x:c>
      <x:c r="D33" s="12" t="n">
        <x:f>IF(OR(B33="",C33=""),"",B33-C33)</x:f>
        <x:v>6068</x:v>
      </x:c>
      <x:c r="E33" s="13" t="n">
        <x:f>IFERROR(B33/C33-1,"")</x:f>
        <x:v>5.902723735408561</x:v>
      </x:c>
      <x:c r="F33" s="15" t="str">
        <x:v>PDF p16</x:v>
      </x:c>
    </x:row>
    <x:row r="34">
      <x:c r="A34" t="str">
        <x:v>5S增值服务</x:v>
      </x:c>
      <x:c r="B34" s="12" t="n">
        <x:v>1089797</x:v>
      </x:c>
      <x:c r="C34" s="12" t="n">
        <x:v>1444525</x:v>
      </x:c>
      <x:c r="D34" s="12" t="n">
        <x:f>IF(OR(B34="",C34=""),"",B34-C34)</x:f>
        <x:v>-354728</x:v>
      </x:c>
      <x:c r="E34" s="13" t="n">
        <x:f>IFERROR(B34/C34-1,"")</x:f>
        <x:v>-0.24556722798151642</x:v>
      </x:c>
      <x:c r="F34" s="15" t="str">
        <x:v>PDF p16</x:v>
      </x:c>
    </x:row>
    <x:row r="35">
      <x:c r="A35" s="24" t="str">
        <x:v>合同负债合计</x:v>
      </x:c>
      <x:c r="B35" s="25" t="n">
        <x:v>1847357</x:v>
      </x:c>
      <x:c r="C35" s="25" t="n">
        <x:v>1768657</x:v>
      </x:c>
      <x:c r="D35" s="25" t="n">
        <x:f>IF(OR(B35="",C35=""),"",B35-C35)</x:f>
        <x:v>78700</x:v>
      </x:c>
      <x:c r="E35" s="26" t="n">
        <x:f>IFERROR(B35/C35-1,"")</x:f>
        <x:v>0.04449703927895565</x:v>
      </x:c>
      <x:c r="F35" s="27" t="str">
        <x:v>PDF p16</x:v>
      </x:c>
    </x:row>
    <x:row r="38" ht="22" customHeight="1">
      <x:c r="A38" s="36" t="str">
        <x:v>贸易及其他应付款</x:v>
      </x:c>
      <x:c r="B38" s="36" t="str">
        <x:v>贸易及其他应付款</x:v>
      </x:c>
      <x:c r="C38" s="36" t="str">
        <x:v>贸易及其他应付款</x:v>
      </x:c>
      <x:c r="D38" s="36" t="str">
        <x:v>贸易及其他应付款</x:v>
      </x:c>
      <x:c r="E38" s="36" t="str">
        <x:v>贸易及其他应付款</x:v>
      </x:c>
      <x:c r="F38" s="36" t="str">
        <x:v>贸易及其他应付款</x:v>
      </x:c>
    </x:row>
    <x:row r="39" ht="28" customHeight="1">
      <x:c r="A39" s="11" t="str">
        <x:v>项目</x:v>
      </x:c>
      <x:c r="B39" s="11" t="str">
        <x:v>2026-06-30</x:v>
      </x:c>
      <x:c r="C39" s="11" t="str">
        <x:v>2025-12-31</x:v>
      </x:c>
      <x:c r="D39" s="11" t="str">
        <x:v>变动额</x:v>
      </x:c>
      <x:c r="E39" s="11" t="str">
        <x:v>变动率</x:v>
      </x:c>
      <x:c r="F39" s="11" t="str">
        <x:v>来源</x:v>
      </x:c>
    </x:row>
    <x:row r="41">
      <x:c r="A41" t="str">
        <x:v>第三方贸易应付款</x:v>
      </x:c>
      <x:c r="B41" s="12" t="n">
        <x:v>517786</x:v>
      </x:c>
      <x:c r="C41" s="12" t="n">
        <x:v>370447</x:v>
      </x:c>
      <x:c r="D41" s="12" t="n">
        <x:f>IF(OR(B41="",C41=""),"",B41-C41)</x:f>
        <x:v>147339</x:v>
      </x:c>
      <x:c r="E41" s="13" t="n">
        <x:f>IFERROR(B41/C41-1,"")</x:f>
        <x:v>0.39773300904042963</x:v>
      </x:c>
      <x:c r="F41" s="15" t="str">
        <x:v>PDF p17</x:v>
      </x:c>
    </x:row>
    <x:row r="42">
      <x:c r="A42" t="str">
        <x:v>关联方贸易应付款</x:v>
      </x:c>
      <x:c r="B42" s="12" t="n">
        <x:v>1453</x:v>
      </x:c>
      <x:c r="C42" s="12" t="n">
        <x:v>5969</x:v>
      </x:c>
      <x:c r="D42" s="12" t="n">
        <x:f>IF(OR(B42="",C42=""),"",B42-C42)</x:f>
        <x:v>-4516</x:v>
      </x:c>
      <x:c r="E42" s="13" t="n">
        <x:f>IFERROR(B42/C42-1,"")</x:f>
        <x:v>-0.7565756408108562</x:v>
      </x:c>
      <x:c r="F42" s="15" t="str">
        <x:v>PDF p17</x:v>
      </x:c>
    </x:row>
    <x:row r="43">
      <x:c r="A43" s="24" t="str">
        <x:v>贸易应付款合计</x:v>
      </x:c>
      <x:c r="B43" s="25" t="n">
        <x:v>519239</x:v>
      </x:c>
      <x:c r="C43" s="25" t="n">
        <x:v>376416</x:v>
      </x:c>
      <x:c r="D43" s="25" t="n">
        <x:f>IF(OR(B43="",C43=""),"",B43-C43)</x:f>
        <x:v>142823</x:v>
      </x:c>
      <x:c r="E43" s="26" t="n">
        <x:f>IFERROR(B43/C43-1,"")</x:f>
        <x:v>0.37942861089858027</x:v>
      </x:c>
      <x:c r="F43" s="27" t="str">
        <x:v>PDF p17</x:v>
      </x:c>
    </x:row>
    <x:row r="44">
      <x:c r="A44" t="str">
        <x:v>关联方其他应付款</x:v>
      </x:c>
      <x:c r="B44" s="12" t="n">
        <x:v>24024</x:v>
      </x:c>
      <x:c r="C44" s="12" t="n">
        <x:v>41049</x:v>
      </x:c>
      <x:c r="D44" s="12" t="n">
        <x:f>IF(OR(B44="",C44=""),"",B44-C44)</x:f>
        <x:v>-17025</x:v>
      </x:c>
      <x:c r="E44" s="13" t="n">
        <x:f>IFERROR(B44/C44-1,"")</x:f>
        <x:v>-0.4147482277278375</x:v>
      </x:c>
      <x:c r="F44" s="15" t="str">
        <x:v>PDF p17</x:v>
      </x:c>
    </x:row>
    <x:row r="45">
      <x:c r="A45" t="str">
        <x:v>可退还按金</x:v>
      </x:c>
      <x:c r="B45" s="12" t="n">
        <x:v>112195</x:v>
      </x:c>
      <x:c r="C45" s="12" t="n">
        <x:v>105503</x:v>
      </x:c>
      <x:c r="D45" s="12" t="n">
        <x:f>IF(OR(B45="",C45=""),"",B45-C45)</x:f>
        <x:v>6692</x:v>
      </x:c>
      <x:c r="E45" s="13" t="n">
        <x:f>IFERROR(B45/C45-1,"")</x:f>
        <x:v>0.06342947593907278</x:v>
      </x:c>
      <x:c r="F45" s="15" t="str">
        <x:v>PDF p17</x:v>
      </x:c>
    </x:row>
    <x:row r="46">
      <x:c r="A46" t="str">
        <x:v>税项及费用</x:v>
      </x:c>
      <x:c r="B46" s="12" t="n">
        <x:v>136387</x:v>
      </x:c>
      <x:c r="C46" s="12" t="n">
        <x:v>158059</x:v>
      </x:c>
      <x:c r="D46" s="12" t="n">
        <x:f>IF(OR(B46="",C46=""),"",B46-C46)</x:f>
        <x:v>-21672</x:v>
      </x:c>
      <x:c r="E46" s="13" t="n">
        <x:f>IFERROR(B46/C46-1,"")</x:f>
        <x:v>-0.13711335640488675</x:v>
      </x:c>
      <x:c r="F46" s="15" t="str">
        <x:v>PDF p17</x:v>
      </x:c>
    </x:row>
    <x:row r="47">
      <x:c r="A47" t="str">
        <x:v>应计工资</x:v>
      </x:c>
      <x:c r="B47" s="12" t="n">
        <x:v>257025</x:v>
      </x:c>
      <x:c r="C47" s="12" t="n">
        <x:v>286451</x:v>
      </x:c>
      <x:c r="D47" s="12" t="n">
        <x:f>IF(OR(B47="",C47=""),"",B47-C47)</x:f>
        <x:v>-29426</x:v>
      </x:c>
      <x:c r="E47" s="13" t="n">
        <x:f>IFERROR(B47/C47-1,"")</x:f>
        <x:v>-0.10272612069778075</x:v>
      </x:c>
      <x:c r="F47" s="15" t="str">
        <x:v>PDF p17</x:v>
      </x:c>
    </x:row>
    <x:row r="48">
      <x:c r="A48" t="str">
        <x:v>代业委会保管现金</x:v>
      </x:c>
      <x:c r="B48" s="12" t="n">
        <x:v>55882</x:v>
      </x:c>
      <x:c r="C48" s="12" t="n">
        <x:v>57998</x:v>
      </x:c>
      <x:c r="D48" s="12" t="n">
        <x:f>IF(OR(B48="",C48=""),"",B48-C48)</x:f>
        <x:v>-2116</x:v>
      </x:c>
      <x:c r="E48" s="13" t="n">
        <x:f>IFERROR(B48/C48-1,"")</x:f>
        <x:v>-0.036484016690230714</x:v>
      </x:c>
      <x:c r="F48" s="15" t="str">
        <x:v>PDF p17</x:v>
      </x:c>
    </x:row>
    <x:row r="49">
      <x:c r="A49" t="str">
        <x:v>暂收款</x:v>
      </x:c>
      <x:c r="B49" s="12" t="n">
        <x:v>227389</x:v>
      </x:c>
      <x:c r="C49" s="12" t="n">
        <x:v>154933</x:v>
      </x:c>
      <x:c r="D49" s="12" t="n">
        <x:f>IF(OR(B49="",C49=""),"",B49-C49)</x:f>
        <x:v>72456</x:v>
      </x:c>
      <x:c r="E49" s="13" t="n">
        <x:f>IFERROR(B49/C49-1,"")</x:f>
        <x:v>0.4676602144152633</x:v>
      </x:c>
      <x:c r="F49" s="15" t="str">
        <x:v>PDF p17</x:v>
      </x:c>
    </x:row>
    <x:row r="50">
      <x:c r="A50" t="str">
        <x:v>其他应付款及应计费用</x:v>
      </x:c>
      <x:c r="B50" s="12" t="n">
        <x:v>44842</x:v>
      </x:c>
      <x:c r="C50" s="12" t="n">
        <x:v>104633</x:v>
      </x:c>
      <x:c r="D50" s="12" t="n">
        <x:f>IF(OR(B50="",C50=""),"",B50-C50)</x:f>
        <x:v>-59791</x:v>
      </x:c>
      <x:c r="E50" s="13" t="n">
        <x:f>IFERROR(B50/C50-1,"")</x:f>
        <x:v>-0.5714353980101881</x:v>
      </x:c>
      <x:c r="F50" s="15" t="str">
        <x:v>PDF p17</x:v>
      </x:c>
    </x:row>
    <x:row r="51">
      <x:c r="A51" s="24" t="str">
        <x:v>贸易及其他应付款合计</x:v>
      </x:c>
      <x:c r="B51" s="25" t="n">
        <x:v>1376983</x:v>
      </x:c>
      <x:c r="C51" s="25" t="n">
        <x:v>1285042</x:v>
      </x:c>
      <x:c r="D51" s="25" t="n">
        <x:f>IF(OR(B51="",C51=""),"",B51-C51)</x:f>
        <x:v>91941</x:v>
      </x:c>
      <x:c r="E51" s="26" t="n">
        <x:f>IFERROR(B51/C51-1,"")</x:f>
        <x:v>0.07154707783870107</x:v>
      </x:c>
      <x:c r="F51" s="27" t="str">
        <x:v>PDF p17</x:v>
      </x:c>
    </x:row>
    <x:row r="54" ht="22" customHeight="1">
      <x:c r="A54" s="36" t="str">
        <x:v>贸易应付款账龄</x:v>
      </x:c>
      <x:c r="B54" s="36" t="str">
        <x:v>贸易应付款账龄</x:v>
      </x:c>
      <x:c r="C54" s="36" t="str">
        <x:v>贸易应付款账龄</x:v>
      </x:c>
      <x:c r="D54" s="36" t="str">
        <x:v>贸易应付款账龄</x:v>
      </x:c>
      <x:c r="E54" s="36" t="str">
        <x:v>贸易应付款账龄</x:v>
      </x:c>
      <x:c r="F54" s="36" t="str">
        <x:v>贸易应付款账龄</x:v>
      </x:c>
    </x:row>
    <x:row r="55" ht="28" customHeight="1">
      <x:c r="A55" s="11" t="str">
        <x:v>项目</x:v>
      </x:c>
      <x:c r="B55" s="11" t="str">
        <x:v>2026-06-30</x:v>
      </x:c>
      <x:c r="C55" s="11" t="str">
        <x:v>2025-12-31</x:v>
      </x:c>
      <x:c r="D55" s="11" t="str">
        <x:v>变动额</x:v>
      </x:c>
      <x:c r="E55" s="11" t="str">
        <x:v>变动率</x:v>
      </x:c>
      <x:c r="F55" s="11" t="str">
        <x:v>来源</x:v>
      </x:c>
    </x:row>
    <x:row r="57">
      <x:c r="A57" t="str">
        <x:v>3个月以内</x:v>
      </x:c>
      <x:c r="B57" s="12" t="n">
        <x:v>191299</x:v>
      </x:c>
      <x:c r="C57" s="12" t="n">
        <x:v>125083</x:v>
      </x:c>
      <x:c r="D57" s="12" t="n">
        <x:f>IF(OR(B57="",C57=""),"",B57-C57)</x:f>
        <x:v>66216</x:v>
      </x:c>
      <x:c r="E57" s="13" t="n">
        <x:f>IFERROR(B57/C57-1,"")</x:f>
        <x:v>0.5293764940079786</x:v>
      </x:c>
      <x:c r="F57" s="15" t="str">
        <x:v>PDF p17</x:v>
      </x:c>
    </x:row>
    <x:row r="58">
      <x:c r="A58" t="str">
        <x:v>3个月至1年</x:v>
      </x:c>
      <x:c r="B58" s="12" t="n">
        <x:v>191386</x:v>
      </x:c>
      <x:c r="C58" s="12" t="n">
        <x:v>210515</x:v>
      </x:c>
      <x:c r="D58" s="12" t="n">
        <x:f>IF(OR(B58="",C58=""),"",B58-C58)</x:f>
        <x:v>-19129</x:v>
      </x:c>
      <x:c r="E58" s="13" t="n">
        <x:f>IFERROR(B58/C58-1,"")</x:f>
        <x:v>-0.09086763413533483</x:v>
      </x:c>
      <x:c r="F58" s="15" t="str">
        <x:v>PDF p17</x:v>
      </x:c>
    </x:row>
    <x:row r="59">
      <x:c r="A59" t="str">
        <x:v>1年以上</x:v>
      </x:c>
      <x:c r="B59" s="12" t="n">
        <x:v>136554</x:v>
      </x:c>
      <x:c r="C59" s="12" t="n">
        <x:v>40818</x:v>
      </x:c>
      <x:c r="D59" s="12" t="n">
        <x:f>IF(OR(B59="",C59=""),"",B59-C59)</x:f>
        <x:v>95736</x:v>
      </x:c>
      <x:c r="E59" s="13" t="n">
        <x:f>IFERROR(B59/C59-1,"")</x:f>
        <x:v>2.345435837130678</x:v>
      </x:c>
      <x:c r="F59" s="15" t="str">
        <x:v>PDF p17</x:v>
      </x:c>
    </x:row>
    <x:row r="60">
      <x:c r="A60" s="24" t="str">
        <x:v>账龄合计</x:v>
      </x:c>
      <x:c r="B60" s="25" t="n">
        <x:v>519239</x:v>
      </x:c>
      <x:c r="C60" s="25" t="n">
        <x:v>376416</x:v>
      </x:c>
      <x:c r="D60" s="25" t="n">
        <x:f>IF(OR(B60="",C60=""),"",B60-C60)</x:f>
        <x:v>142823</x:v>
      </x:c>
      <x:c r="E60" s="26" t="n">
        <x:f>IFERROR(B60/C60-1,"")</x:f>
        <x:v>0.37942861089858027</x:v>
      </x:c>
      <x:c r="F60" s="27" t="str">
        <x:v>PDF p17</x:v>
      </x:c>
    </x:row>
  </x:sheetData>
  <x:mergeCells>
    <x:mergeCell ref="A1:F1"/>
    <x:mergeCell ref="A2:F2"/>
    <x:mergeCell ref="A4:F4"/>
    <x:mergeCell ref="A21:F21"/>
    <x:mergeCell ref="A29:F29"/>
    <x:mergeCell ref="A38:F38"/>
    <x:mergeCell ref="A54:F5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21" hidden="0" customWidth="1"/>
    <x:col min="7" max="7" width="14" hidden="0" customWidth="1"/>
    <x:col min="8" max="8" width="38" hidden="0" customWidth="1"/>
  </x:cols>
  <x:sheetData>
    <x:row r="1" ht="30" customHeight="1">
      <x:c r="A1" s="3" t="str">
        <x:v>财务附注与其他重要披露</x:v>
      </x:c>
      <x:c r="B1" s="3" t="str">
        <x:v>财务附注与其他重要披露</x:v>
      </x:c>
      <x:c r="C1" s="3" t="str">
        <x:v>财务附注与其他重要披露</x:v>
      </x:c>
      <x:c r="D1" s="3" t="str">
        <x:v>财务附注与其他重要披露</x:v>
      </x:c>
      <x:c r="E1" s="3" t="str">
        <x:v>财务附注与其他重要披露</x:v>
      </x:c>
      <x:c r="F1" s="3" t="str">
        <x:v>财务附注与其他重要披露</x:v>
      </x:c>
      <x:c r="G1" s="3" t="str">
        <x:v>财务附注与其他重要披露</x:v>
      </x:c>
      <x:c r="H1" s="3" t="str">
        <x:v>财务附注与其他重要披露</x:v>
      </x:c>
    </x:row>
    <x:row r="2" ht="26" customHeight="1">
      <x:c r="A2" s="6" t="str">
        <x:v>金额默认人民币千元；如为百万元、每股、人数等，单位单列</x:v>
      </x:c>
      <x:c r="B2" s="6" t="str">
        <x:v>金额默认人民币千元；如为百万元、每股、人数等，单位单列</x:v>
      </x:c>
      <x:c r="C2" s="6" t="str">
        <x:v>金额默认人民币千元；如为百万元、每股、人数等，单位单列</x:v>
      </x:c>
      <x:c r="D2" s="6" t="str">
        <x:v>金额默认人民币千元；如为百万元、每股、人数等，单位单列</x:v>
      </x:c>
      <x:c r="E2" s="6" t="str">
        <x:v>金额默认人民币千元；如为百万元、每股、人数等，单位单列</x:v>
      </x:c>
      <x:c r="F2" s="6" t="str">
        <x:v>金额默认人民币千元；如为百万元、每股、人数等，单位单列</x:v>
      </x:c>
      <x:c r="G2" s="6" t="str">
        <x:v>金额默认人民币千元；如为百万元、每股、人数等，单位单列</x:v>
      </x:c>
      <x:c r="H2" s="6" t="str">
        <x:v>金额默认人民币千元；如为百万元、每股、人数等，单位单列</x:v>
      </x:c>
    </x:row>
    <x:row r="4" ht="22" customHeight="1">
      <x:c r="A4" s="36" t="str">
        <x:v>其他收入及收益净额</x:v>
      </x:c>
      <x:c r="B4" s="36" t="str">
        <x:v>其他收入及收益净额</x:v>
      </x:c>
      <x:c r="C4" s="36" t="str">
        <x:v>其他收入及收益净额</x:v>
      </x:c>
      <x:c r="D4" s="36" t="str">
        <x:v>其他收入及收益净额</x:v>
      </x:c>
      <x:c r="E4" s="36" t="str">
        <x:v>其他收入及收益净额</x:v>
      </x:c>
      <x:c r="F4" s="36" t="str">
        <x:v>其他收入及收益净额</x:v>
      </x:c>
      <x:c r="G4" s="36" t="str">
        <x:v>其他收入及收益净额</x:v>
      </x:c>
      <x:c r="H4" s="36" t="str">
        <x:v>其他收入及收益净额</x:v>
      </x:c>
    </x:row>
    <x:row r="5" ht="28" customHeight="1">
      <x:c r="A5" s="11" t="str">
        <x:v>项目</x:v>
      </x:c>
      <x:c r="B5" s="11" t="str">
        <x:v>2026H1/期末</x:v>
      </x:c>
      <x:c r="C5" s="11" t="str">
        <x:v>2025H1/期初</x:v>
      </x:c>
      <x:c r="D5" s="11" t="str">
        <x:v>变动额</x:v>
      </x:c>
      <x:c r="E5" s="11" t="str">
        <x:v>变动率</x:v>
      </x:c>
      <x:c r="F5" s="11" t="str">
        <x:v>单位</x:v>
      </x:c>
      <x:c r="G5" s="11" t="str">
        <x:v>来源</x:v>
      </x:c>
      <x:c r="H5" s="11" t="str">
        <x:v>备注</x:v>
      </x:c>
    </x:row>
    <x:row r="7">
      <x:c r="A7" t="str">
        <x:v>政府补助</x:v>
      </x:c>
      <x:c r="B7" s="37" t="n">
        <x:v>2776</x:v>
      </x:c>
      <x:c r="C7" s="37" t="n">
        <x:v>2901</x:v>
      </x:c>
      <x:c r="D7" s="37" t="n">
        <x:f>IF(OR(B7="",C7=""),"",B7-C7)</x:f>
        <x:v>-125</x:v>
      </x:c>
      <x:c r="E7" s="13" t="n">
        <x:f>IFERROR(B7/C7-1,"")</x:f>
        <x:v>-0.043088590141330596</x:v>
      </x:c>
      <x:c r="F7" t="str">
        <x:v>人民币千元</x:v>
      </x:c>
      <x:c r="G7" s="15" t="str">
        <x:v>PDF p11</x:v>
      </x:c>
      <x:c r="H7" s="15" t="str"/>
    </x:row>
    <x:row r="8">
      <x:c r="A8" t="str">
        <x:v>其他</x:v>
      </x:c>
      <x:c r="B8" s="37" t="n">
        <x:v>2352</x:v>
      </x:c>
      <x:c r="C8" s="37" t="n">
        <x:v>2678</x:v>
      </x:c>
      <x:c r="D8" s="37" t="n">
        <x:f>IF(OR(B8="",C8=""),"",B8-C8)</x:f>
        <x:v>-326</x:v>
      </x:c>
      <x:c r="E8" s="13" t="n">
        <x:f>IFERROR(B8/C8-1,"")</x:f>
        <x:v>-0.12173263629574305</x:v>
      </x:c>
      <x:c r="F8" t="str">
        <x:v>人民币千元</x:v>
      </x:c>
      <x:c r="G8" s="15" t="str">
        <x:v>PDF p11</x:v>
      </x:c>
      <x:c r="H8" s="15" t="str"/>
    </x:row>
    <x:row r="9">
      <x:c r="A9" s="24" t="str">
        <x:v>其他收入合计</x:v>
      </x:c>
      <x:c r="B9" s="40" t="n">
        <x:v>5128</x:v>
      </x:c>
      <x:c r="C9" s="40" t="n">
        <x:v>5579</x:v>
      </x:c>
      <x:c r="D9" s="40" t="n">
        <x:f>IF(OR(B9="",C9=""),"",B9-C9)</x:f>
        <x:v>-451</x:v>
      </x:c>
      <x:c r="E9" s="26" t="n">
        <x:f>IFERROR(B9/C9-1,"")</x:f>
        <x:v>-0.08083886001075458</x:v>
      </x:c>
      <x:c r="F9" s="24" t="str">
        <x:v>人民币千元</x:v>
      </x:c>
      <x:c r="G9" s="27" t="str">
        <x:v>PDF p11</x:v>
      </x:c>
      <x:c r="H9" s="27" t="str"/>
    </x:row>
    <x:row r="10">
      <x:c r="A10" t="str">
        <x:v>出售物业、厂房及设备亏损</x:v>
      </x:c>
      <x:c r="B10" s="37" t="n">
        <x:v>-763</x:v>
      </x:c>
      <x:c r="C10" s="37" t="n">
        <x:v>-155</x:v>
      </x:c>
      <x:c r="D10" s="37" t="n">
        <x:f>IF(OR(B10="",C10=""),"",B10-C10)</x:f>
        <x:v>-608</x:v>
      </x:c>
      <x:c r="E10" s="13" t="n">
        <x:f>IFERROR(B10/C10-1,"")</x:f>
        <x:v>3.9225806451612906</x:v>
      </x:c>
      <x:c r="F10" t="str">
        <x:v>人民币千元</x:v>
      </x:c>
      <x:c r="G10" s="15" t="str">
        <x:v>PDF p11</x:v>
      </x:c>
      <x:c r="H10" s="15" t="str"/>
    </x:row>
    <x:row r="11">
      <x:c r="A11" t="str">
        <x:v>FVTPL金融资产收益</x:v>
      </x:c>
      <x:c r="B11" s="37" t="n">
        <x:v>9341</x:v>
      </x:c>
      <x:c r="C11" s="37" t="n">
        <x:v>3140</x:v>
      </x:c>
      <x:c r="D11" s="37" t="n">
        <x:f>IF(OR(B11="",C11=""),"",B11-C11)</x:f>
        <x:v>6201</x:v>
      </x:c>
      <x:c r="E11" s="13" t="n">
        <x:f>IFERROR(B11/C11-1,"")</x:f>
        <x:v>1.9748407643312103</x:v>
      </x:c>
      <x:c r="F11" t="str">
        <x:v>人民币千元</x:v>
      </x:c>
      <x:c r="G11" s="15" t="str">
        <x:v>PDF p11</x:v>
      </x:c>
      <x:c r="H11" s="15" t="str"/>
    </x:row>
    <x:row r="12">
      <x:c r="A12" t="str">
        <x:v>汇兑收益</x:v>
      </x:c>
      <x:c r="B12" s="37" t="n">
        <x:v>572</x:v>
      </x:c>
      <x:c r="C12" s="37" t="n">
        <x:v>0</x:v>
      </x:c>
      <x:c r="D12" s="37" t="str">
        <x:f>IF(OR(B12="",C12=""),"",B12-C12)</x:f>
      </x:c>
      <x:c r="E12" s="13" t="str">
        <x:f>IFERROR(B12/C12-1,"")</x:f>
      </x:c>
      <x:c r="F12" t="str">
        <x:v>人民币千元</x:v>
      </x:c>
      <x:c r="G12" s="15" t="str">
        <x:v>PDF p11</x:v>
      </x:c>
      <x:c r="H12" s="15" t="str"/>
    </x:row>
    <x:row r="13">
      <x:c r="A13" s="24" t="str">
        <x:v>其他收益净额合计</x:v>
      </x:c>
      <x:c r="B13" s="40" t="n">
        <x:v>9150</x:v>
      </x:c>
      <x:c r="C13" s="40" t="n">
        <x:v>2985</x:v>
      </x:c>
      <x:c r="D13" s="40" t="n">
        <x:f>IF(OR(B13="",C13=""),"",B13-C13)</x:f>
        <x:v>6165</x:v>
      </x:c>
      <x:c r="E13" s="26" t="n">
        <x:f>IFERROR(B13/C13-1,"")</x:f>
        <x:v>2.0653266331658293</x:v>
      </x:c>
      <x:c r="F13" s="24" t="str">
        <x:v>人民币千元</x:v>
      </x:c>
      <x:c r="G13" s="27" t="str">
        <x:v>PDF p11</x:v>
      </x:c>
      <x:c r="H13" s="27" t="str"/>
    </x:row>
    <x:row r="16" ht="22" customHeight="1">
      <x:c r="A16" s="36" t="str">
        <x:v>税前利润附注</x:v>
      </x:c>
      <x:c r="B16" s="36" t="str">
        <x:v>税前利润附注</x:v>
      </x:c>
      <x:c r="C16" s="36" t="str">
        <x:v>税前利润附注</x:v>
      </x:c>
      <x:c r="D16" s="36" t="str">
        <x:v>税前利润附注</x:v>
      </x:c>
      <x:c r="E16" s="36" t="str">
        <x:v>税前利润附注</x:v>
      </x:c>
      <x:c r="F16" s="36" t="str">
        <x:v>税前利润附注</x:v>
      </x:c>
      <x:c r="G16" s="36" t="str">
        <x:v>税前利润附注</x:v>
      </x:c>
      <x:c r="H16" s="36" t="str">
        <x:v>税前利润附注</x:v>
      </x:c>
    </x:row>
    <x:row r="17" ht="28" customHeight="1">
      <x:c r="A17" s="11" t="str">
        <x:v>项目</x:v>
      </x:c>
      <x:c r="B17" s="11" t="str">
        <x:v>2026H1/期末</x:v>
      </x:c>
      <x:c r="C17" s="11" t="str">
        <x:v>2025H1/期初</x:v>
      </x:c>
      <x:c r="D17" s="11" t="str">
        <x:v>变动额</x:v>
      </x:c>
      <x:c r="E17" s="11" t="str">
        <x:v>变动率</x:v>
      </x:c>
      <x:c r="F17" s="11" t="str">
        <x:v>单位</x:v>
      </x:c>
      <x:c r="G17" s="11" t="str">
        <x:v>来源</x:v>
      </x:c>
      <x:c r="H17" s="11" t="str">
        <x:v>备注</x:v>
      </x:c>
    </x:row>
    <x:row r="19">
      <x:c r="A19" t="str">
        <x:v>银行利息收入</x:v>
      </x:c>
      <x:c r="B19" s="37" t="n">
        <x:v>35732</x:v>
      </x:c>
      <x:c r="C19" s="37" t="n">
        <x:v>35440</x:v>
      </x:c>
      <x:c r="D19" s="37" t="n">
        <x:f>IF(OR(B19="",C19=""),"",B19-C19)</x:f>
        <x:v>292</x:v>
      </x:c>
      <x:c r="E19" s="13" t="n">
        <x:f>IFERROR(B19/C19-1,"")</x:f>
        <x:v>0.008239277652370314</x:v>
      </x:c>
      <x:c r="F19" t="str">
        <x:v>人民币千元</x:v>
      </x:c>
      <x:c r="G19" s="15" t="str">
        <x:v>PDF p12</x:v>
      </x:c>
      <x:c r="H19" s="15" t="str"/>
    </x:row>
    <x:row r="20">
      <x:c r="A20" t="str">
        <x:v>租赁负债利息</x:v>
      </x:c>
      <x:c r="B20" s="37" t="n">
        <x:v>138</x:v>
      </x:c>
      <x:c r="C20" s="37" t="n">
        <x:v>65</x:v>
      </x:c>
      <x:c r="D20" s="37" t="n">
        <x:f>IF(OR(B20="",C20=""),"",B20-C20)</x:f>
        <x:v>73</x:v>
      </x:c>
      <x:c r="E20" s="13" t="n">
        <x:f>IFERROR(B20/C20-1,"")</x:f>
        <x:v>1.123076923076923</x:v>
      </x:c>
      <x:c r="F20" t="str">
        <x:v>人民币千元</x:v>
      </x:c>
      <x:c r="G20" s="15" t="str">
        <x:v>PDF p12</x:v>
      </x:c>
      <x:c r="H20" s="15" t="str"/>
    </x:row>
    <x:row r="21">
      <x:c r="A21" t="str">
        <x:v>银行借款利息</x:v>
      </x:c>
      <x:c r="B21" s="37" t="n">
        <x:v>6</x:v>
      </x:c>
      <x:c r="C21" s="37" t="n">
        <x:v>0</x:v>
      </x:c>
      <x:c r="D21" s="37" t="str">
        <x:f>IF(OR(B21="",C21=""),"",B21-C21)</x:f>
      </x:c>
      <x:c r="E21" s="13" t="str">
        <x:f>IFERROR(B21/C21-1,"")</x:f>
      </x:c>
      <x:c r="F21" t="str">
        <x:v>人民币千元</x:v>
      </x:c>
      <x:c r="G21" s="15" t="str">
        <x:v>PDF p12</x:v>
      </x:c>
      <x:c r="H21" s="15" t="str"/>
    </x:row>
    <x:row r="22">
      <x:c r="A22" t="str">
        <x:v>工资及福利</x:v>
      </x:c>
      <x:c r="B22" s="37" t="n">
        <x:v>756608</x:v>
      </x:c>
      <x:c r="C22" s="37" t="n">
        <x:v>644914</x:v>
      </x:c>
      <x:c r="D22" s="37" t="n">
        <x:f>IF(OR(B22="",C22=""),"",B22-C22)</x:f>
        <x:v>111694</x:v>
      </x:c>
      <x:c r="E22" s="13" t="n">
        <x:f>IFERROR(B22/C22-1,"")</x:f>
        <x:v>0.17319208452599888</x:v>
      </x:c>
      <x:c r="F22" t="str">
        <x:v>人民币千元</x:v>
      </x:c>
      <x:c r="G22" s="15" t="str">
        <x:v>PDF p12</x:v>
      </x:c>
      <x:c r="H22" s="15" t="str"/>
    </x:row>
    <x:row r="23">
      <x:c r="A23" t="str">
        <x:v>设定提存计划</x:v>
      </x:c>
      <x:c r="B23" s="37" t="n">
        <x:v>74817</x:v>
      </x:c>
      <x:c r="C23" s="37" t="n">
        <x:v>58282</x:v>
      </x:c>
      <x:c r="D23" s="37" t="n">
        <x:f>IF(OR(B23="",C23=""),"",B23-C23)</x:f>
        <x:v>16535</x:v>
      </x:c>
      <x:c r="E23" s="13" t="n">
        <x:f>IFERROR(B23/C23-1,"")</x:f>
        <x:v>0.2837068048454068</x:v>
      </x:c>
      <x:c r="F23" t="str">
        <x:v>人民币千元</x:v>
      </x:c>
      <x:c r="G23" s="15" t="str">
        <x:v>PDF p12</x:v>
      </x:c>
      <x:c r="H23" s="15" t="str"/>
    </x:row>
    <x:row r="24">
      <x:c r="A24" s="24" t="str">
        <x:v>员工成本合计</x:v>
      </x:c>
      <x:c r="B24" s="40" t="n">
        <x:v>831425</x:v>
      </x:c>
      <x:c r="C24" s="40" t="n">
        <x:v>703196</x:v>
      </x:c>
      <x:c r="D24" s="40" t="n">
        <x:f>IF(OR(B24="",C24=""),"",B24-C24)</x:f>
        <x:v>128229</x:v>
      </x:c>
      <x:c r="E24" s="26" t="n">
        <x:f>IFERROR(B24/C24-1,"")</x:f>
        <x:v>0.1823517198618878</x:v>
      </x:c>
      <x:c r="F24" s="24" t="str">
        <x:v>人民币千元</x:v>
      </x:c>
      <x:c r="G24" s="27" t="str">
        <x:v>PDF p12</x:v>
      </x:c>
      <x:c r="H24" s="27" t="str"/>
    </x:row>
    <x:row r="25">
      <x:c r="A25" t="str">
        <x:v>物业、厂房及设备折旧</x:v>
      </x:c>
      <x:c r="B25" s="37" t="n">
        <x:v>9490</x:v>
      </x:c>
      <x:c r="C25" s="37" t="n">
        <x:v>8594</x:v>
      </x:c>
      <x:c r="D25" s="37" t="n">
        <x:f>IF(OR(B25="",C25=""),"",B25-C25)</x:f>
        <x:v>896</x:v>
      </x:c>
      <x:c r="E25" s="13" t="n">
        <x:f>IFERROR(B25/C25-1,"")</x:f>
        <x:v>0.10425878519897602</x:v>
      </x:c>
      <x:c r="F25" t="str">
        <x:v>人民币千元</x:v>
      </x:c>
      <x:c r="G25" s="15" t="str">
        <x:v>PDF p12</x:v>
      </x:c>
      <x:c r="H25" s="15" t="str"/>
    </x:row>
    <x:row r="26">
      <x:c r="A26" t="str">
        <x:v>使用权资产折旧</x:v>
      </x:c>
      <x:c r="B26" s="37" t="n">
        <x:v>1191</x:v>
      </x:c>
      <x:c r="C26" s="37" t="n">
        <x:v>1065</x:v>
      </x:c>
      <x:c r="D26" s="37" t="n">
        <x:f>IF(OR(B26="",C26=""),"",B26-C26)</x:f>
        <x:v>126</x:v>
      </x:c>
      <x:c r="E26" s="13" t="n">
        <x:f>IFERROR(B26/C26-1,"")</x:f>
        <x:v>0.11830985915492964</x:v>
      </x:c>
      <x:c r="F26" t="str">
        <x:v>人民币千元</x:v>
      </x:c>
      <x:c r="G26" s="15" t="str">
        <x:v>PDF p12</x:v>
      </x:c>
      <x:c r="H26" s="15" t="str"/>
    </x:row>
    <x:row r="27">
      <x:c r="A27" t="str">
        <x:v>短期租赁开支</x:v>
      </x:c>
      <x:c r="B27" s="37" t="n">
        <x:v>10703</x:v>
      </x:c>
      <x:c r="C27" s="37" t="n">
        <x:v>8916</x:v>
      </x:c>
      <x:c r="D27" s="37" t="n">
        <x:f>IF(OR(B27="",C27=""),"",B27-C27)</x:f>
        <x:v>1787</x:v>
      </x:c>
      <x:c r="E27" s="13" t="n">
        <x:f>IFERROR(B27/C27-1,"")</x:f>
        <x:v>0.20042620008972634</x:v>
      </x:c>
      <x:c r="F27" t="str">
        <x:v>人民币千元</x:v>
      </x:c>
      <x:c r="G27" s="15" t="str">
        <x:v>PDF p12</x:v>
      </x:c>
      <x:c r="H27" s="15" t="str"/>
    </x:row>
    <x:row r="28">
      <x:c r="A28" t="str">
        <x:v>贸易应收款减值</x:v>
      </x:c>
      <x:c r="B28" s="37" t="n">
        <x:v>32478</x:v>
      </x:c>
      <x:c r="C28" s="37" t="n">
        <x:v>26350</x:v>
      </x:c>
      <x:c r="D28" s="37" t="n">
        <x:f>IF(OR(B28="",C28=""),"",B28-C28)</x:f>
        <x:v>6128</x:v>
      </x:c>
      <x:c r="E28" s="13" t="n">
        <x:f>IFERROR(B28/C28-1,"")</x:f>
        <x:v>0.2325616698292221</x:v>
      </x:c>
      <x:c r="F28" t="str">
        <x:v>人民币千元</x:v>
      </x:c>
      <x:c r="G28" s="15" t="str">
        <x:v>PDF p12</x:v>
      </x:c>
      <x:c r="H28" s="15" t="str"/>
    </x:row>
    <x:row r="29">
      <x:c r="A29" t="str">
        <x:v>已售存货成本</x:v>
      </x:c>
      <x:c r="B29" s="37" t="n">
        <x:v>67056</x:v>
      </x:c>
      <x:c r="C29" s="37" t="n">
        <x:v>26721</x:v>
      </x:c>
      <x:c r="D29" s="37" t="n">
        <x:f>IF(OR(B29="",C29=""),"",B29-C29)</x:f>
        <x:v>40335</x:v>
      </x:c>
      <x:c r="E29" s="13" t="n">
        <x:f>IFERROR(B29/C29-1,"")</x:f>
        <x:v>1.5094869203996857</x:v>
      </x:c>
      <x:c r="F29" t="str">
        <x:v>人民币千元</x:v>
      </x:c>
      <x:c r="G29" s="15" t="str">
        <x:v>PDF p12</x:v>
      </x:c>
      <x:c r="H29" s="15" t="str"/>
    </x:row>
    <x:row r="32" ht="22" customHeight="1">
      <x:c r="A32" s="36" t="str">
        <x:v>所得税</x:v>
      </x:c>
      <x:c r="B32" s="36" t="str">
        <x:v>所得税</x:v>
      </x:c>
      <x:c r="C32" s="36" t="str">
        <x:v>所得税</x:v>
      </x:c>
      <x:c r="D32" s="36" t="str">
        <x:v>所得税</x:v>
      </x:c>
      <x:c r="E32" s="36" t="str">
        <x:v>所得税</x:v>
      </x:c>
      <x:c r="F32" s="36" t="str">
        <x:v>所得税</x:v>
      </x:c>
      <x:c r="G32" s="36" t="str">
        <x:v>所得税</x:v>
      </x:c>
      <x:c r="H32" s="36" t="str">
        <x:v>所得税</x:v>
      </x:c>
    </x:row>
    <x:row r="33" ht="28" customHeight="1">
      <x:c r="A33" s="11" t="str">
        <x:v>项目</x:v>
      </x:c>
      <x:c r="B33" s="11" t="str">
        <x:v>2026H1/期末</x:v>
      </x:c>
      <x:c r="C33" s="11" t="str">
        <x:v>2025H1/期初</x:v>
      </x:c>
      <x:c r="D33" s="11" t="str">
        <x:v>变动额</x:v>
      </x:c>
      <x:c r="E33" s="11" t="str">
        <x:v>变动率</x:v>
      </x:c>
      <x:c r="F33" s="11" t="str">
        <x:v>单位</x:v>
      </x:c>
      <x:c r="G33" s="11" t="str">
        <x:v>来源</x:v>
      </x:c>
      <x:c r="H33" s="11" t="str">
        <x:v>备注</x:v>
      </x:c>
    </x:row>
    <x:row r="35">
      <x:c r="A35" t="str">
        <x:v>中国即期所得税</x:v>
      </x:c>
      <x:c r="B35" s="37" t="n">
        <x:v>104004</x:v>
      </x:c>
      <x:c r="C35" s="37" t="n">
        <x:v>99812</x:v>
      </x:c>
      <x:c r="D35" s="37" t="n">
        <x:f>IF(OR(B35="",C35=""),"",B35-C35)</x:f>
        <x:v>4192</x:v>
      </x:c>
      <x:c r="E35" s="13" t="n">
        <x:f>IFERROR(B35/C35-1,"")</x:f>
        <x:v>0.04199895804111731</x:v>
      </x:c>
      <x:c r="F35" t="str">
        <x:v>人民币千元</x:v>
      </x:c>
      <x:c r="G35" s="15" t="str">
        <x:v>PDF p13</x:v>
      </x:c>
      <x:c r="H35" s="15" t="str"/>
    </x:row>
    <x:row r="36">
      <x:c r="A36" t="str">
        <x:v>往期超额拨备</x:v>
      </x:c>
      <x:c r="B36" s="37" t="n">
        <x:v>-334</x:v>
      </x:c>
      <x:c r="C36" s="37" t="n">
        <x:v>-1342</x:v>
      </x:c>
      <x:c r="D36" s="37" t="n">
        <x:f>IF(OR(B36="",C36=""),"",B36-C36)</x:f>
        <x:v>1008</x:v>
      </x:c>
      <x:c r="E36" s="13" t="n">
        <x:f>IFERROR(B36/C36-1,"")</x:f>
        <x:v>-0.7511177347242921</x:v>
      </x:c>
      <x:c r="F36" t="str">
        <x:v>人民币千元</x:v>
      </x:c>
      <x:c r="G36" s="15" t="str">
        <x:v>PDF p13</x:v>
      </x:c>
      <x:c r="H36" s="15" t="str"/>
    </x:row>
    <x:row r="37">
      <x:c r="A37" t="str">
        <x:v>递延税项-暂时性差异</x:v>
      </x:c>
      <x:c r="B37" s="37" t="n">
        <x:v>-14478</x:v>
      </x:c>
      <x:c r="C37" s="37" t="n">
        <x:v>-7993</x:v>
      </x:c>
      <x:c r="D37" s="37" t="n">
        <x:f>IF(OR(B37="",C37=""),"",B37-C37)</x:f>
        <x:v>-6485</x:v>
      </x:c>
      <x:c r="E37" s="13" t="n">
        <x:f>IFERROR(B37/C37-1,"")</x:f>
        <x:v>0.8113349180532967</x:v>
      </x:c>
      <x:c r="F37" t="str">
        <x:v>人民币千元</x:v>
      </x:c>
      <x:c r="G37" s="15" t="str">
        <x:v>PDF p13</x:v>
      </x:c>
      <x:c r="H37" s="15" t="str"/>
    </x:row>
    <x:row r="38">
      <x:c r="A38" t="str">
        <x:v>递延税项-预扣税</x:v>
      </x:c>
      <x:c r="B38" s="37" t="n">
        <x:v>17750</x:v>
      </x:c>
      <x:c r="C38" s="37" t="n">
        <x:v>18200</x:v>
      </x:c>
      <x:c r="D38" s="37" t="n">
        <x:f>IF(OR(B38="",C38=""),"",B38-C38)</x:f>
        <x:v>-450</x:v>
      </x:c>
      <x:c r="E38" s="13" t="n">
        <x:f>IFERROR(B38/C38-1,"")</x:f>
        <x:v>-0.02472527472527475</x:v>
      </x:c>
      <x:c r="F38" t="str">
        <x:v>人民币千元</x:v>
      </x:c>
      <x:c r="G38" s="15" t="str">
        <x:v>PDF p13</x:v>
      </x:c>
      <x:c r="H38" s="15" t="str"/>
    </x:row>
    <x:row r="39">
      <x:c r="A39" s="24" t="str">
        <x:v>所得税开支合计</x:v>
      </x:c>
      <x:c r="B39" s="40" t="n">
        <x:v>106942</x:v>
      </x:c>
      <x:c r="C39" s="40" t="n">
        <x:v>108677</x:v>
      </x:c>
      <x:c r="D39" s="40" t="n">
        <x:f>IF(OR(B39="",C39=""),"",B39-C39)</x:f>
        <x:v>-1735</x:v>
      </x:c>
      <x:c r="E39" s="26" t="n">
        <x:f>IFERROR(B39/C39-1,"")</x:f>
        <x:v>-0.01596473954930666</x:v>
      </x:c>
      <x:c r="F39" s="24" t="str">
        <x:v>人民币千元</x:v>
      </x:c>
      <x:c r="G39" s="27" t="str">
        <x:v>PDF p13</x:v>
      </x:c>
      <x:c r="H39" s="27" t="str"/>
    </x:row>
    <x:row r="42" ht="22" customHeight="1">
      <x:c r="A42" s="36" t="str">
        <x:v>每股盈利、股息与资金</x:v>
      </x:c>
      <x:c r="B42" s="36" t="str">
        <x:v>每股盈利、股息与资金</x:v>
      </x:c>
      <x:c r="C42" s="36" t="str">
        <x:v>每股盈利、股息与资金</x:v>
      </x:c>
      <x:c r="D42" s="36" t="str">
        <x:v>每股盈利、股息与资金</x:v>
      </x:c>
      <x:c r="E42" s="36" t="str">
        <x:v>每股盈利、股息与资金</x:v>
      </x:c>
      <x:c r="F42" s="36" t="str">
        <x:v>每股盈利、股息与资金</x:v>
      </x:c>
      <x:c r="G42" s="36" t="str">
        <x:v>每股盈利、股息与资金</x:v>
      </x:c>
      <x:c r="H42" s="36" t="str">
        <x:v>每股盈利、股息与资金</x:v>
      </x:c>
    </x:row>
    <x:row r="43" ht="28" customHeight="1">
      <x:c r="A43" s="11" t="str">
        <x:v>项目</x:v>
      </x:c>
      <x:c r="B43" s="11" t="str">
        <x:v>2026H1/期末</x:v>
      </x:c>
      <x:c r="C43" s="11" t="str">
        <x:v>2025H1/期初</x:v>
      </x:c>
      <x:c r="D43" s="11" t="str">
        <x:v>变动额</x:v>
      </x:c>
      <x:c r="E43" s="11" t="str">
        <x:v>变动率</x:v>
      </x:c>
      <x:c r="F43" s="11" t="str">
        <x:v>单位</x:v>
      </x:c>
      <x:c r="G43" s="11" t="str">
        <x:v>来源</x:v>
      </x:c>
      <x:c r="H43" s="11" t="str">
        <x:v>备注</x:v>
      </x:c>
    </x:row>
    <x:row r="45">
      <x:c r="A45" t="str">
        <x:v>加权平均普通股数</x:v>
      </x:c>
      <x:c r="B45" s="37" t="n">
        <x:v>276407000</x:v>
      </x:c>
      <x:c r="C45" s="37" t="n">
        <x:v>276407000</x:v>
      </x:c>
      <x:c r="D45" s="37" t="n">
        <x:f>IF(OR(B45="",C45=""),"",B45-C45)</x:f>
        <x:v>0</x:v>
      </x:c>
      <x:c r="E45" s="13" t="n">
        <x:f>IFERROR(B45/C45-1,"")</x:f>
        <x:v>0</x:v>
      </x:c>
      <x:c r="F45" t="str">
        <x:v>股</x:v>
      </x:c>
      <x:c r="G45" s="15" t="str">
        <x:v>PDF p13</x:v>
      </x:c>
      <x:c r="H45" s="15" t="str"/>
    </x:row>
    <x:row r="46">
      <x:c r="A46" t="str">
        <x:v>建议中期股息</x:v>
      </x:c>
      <x:c r="B46" s="37" t="n">
        <x:v>0.922</x:v>
      </x:c>
      <x:c r="C46" s="37" t="n">
        <x:v>0.826</x:v>
      </x:c>
      <x:c r="D46" s="37" t="n">
        <x:f>IF(OR(B46="",C46=""),"",B46-C46)</x:f>
        <x:v>0.09600000000000009</x:v>
      </x:c>
      <x:c r="E46" s="13" t="n">
        <x:f>IFERROR(B46/C46-1,"")</x:f>
        <x:v>0.116222760290557</x:v>
      </x:c>
      <x:c r="F46" t="str">
        <x:v>港元/股</x:v>
      </x:c>
      <x:c r="G46" s="15" t="str">
        <x:v>PDF p18</x:v>
      </x:c>
      <x:c r="H46" s="15" t="str"/>
    </x:row>
    <x:row r="47">
      <x:c r="A47" t="str">
        <x:v>建议中期股息总额</x:v>
      </x:c>
      <x:c r="B47" s="37" t="n">
        <x:v>220593</x:v>
      </x:c>
      <x:c r="C47" s="37" t="n">
        <x:v>208328</x:v>
      </x:c>
      <x:c r="D47" s="37" t="n">
        <x:f>IF(OR(B47="",C47=""),"",B47-C47)</x:f>
        <x:v>12265</x:v>
      </x:c>
      <x:c r="E47" s="13" t="n">
        <x:f>IFERROR(B47/C47-1,"")</x:f>
        <x:v>0.05887350716178341</x:v>
      </x:c>
      <x:c r="F47" t="str">
        <x:v>人民币千元</x:v>
      </x:c>
      <x:c r="G47" s="15" t="str">
        <x:v>PDF p18</x:v>
      </x:c>
      <x:c r="H47" s="15" t="str"/>
    </x:row>
    <x:row r="48">
      <x:c r="A48" t="str">
        <x:v>已批准末期股息</x:v>
      </x:c>
      <x:c r="B48" s="37" t="n">
        <x:v>235067</x:v>
      </x:c>
      <x:c r="C48" s="37" t="n">
        <x:v>221818</x:v>
      </x:c>
      <x:c r="D48" s="37" t="n">
        <x:f>IF(OR(B48="",C48=""),"",B48-C48)</x:f>
        <x:v>13249</x:v>
      </x:c>
      <x:c r="E48" s="13" t="n">
        <x:f>IFERROR(B48/C48-1,"")</x:f>
        <x:v>0.059729147318973164</x:v>
      </x:c>
      <x:c r="F48" t="str">
        <x:v>人民币千元</x:v>
      </x:c>
      <x:c r="G48" s="15" t="str">
        <x:v>PDF p18</x:v>
      </x:c>
      <x:c r="H48" s="15" t="str"/>
    </x:row>
    <x:row r="49">
      <x:c r="A49" t="str">
        <x:v>现金、定期存款及FVTPL理财合计</x:v>
      </x:c>
      <x:c r="B49" s="37" t="n">
        <x:v>3797846</x:v>
      </x:c>
      <x:c r="C49" s="37" t="n">
        <x:v>3627162</x:v>
      </x:c>
      <x:c r="D49" s="37" t="n">
        <x:f>IF(OR(B49="",C49=""),"",B49-C49)</x:f>
        <x:v>170684</x:v>
      </x:c>
      <x:c r="E49" s="13" t="n">
        <x:f>IFERROR(B49/C49-1,"")</x:f>
        <x:v>0.047057175830580444</x:v>
      </x:c>
      <x:c r="F49" t="str">
        <x:v>人民币千元</x:v>
      </x:c>
      <x:c r="G49" s="15" t="str">
        <x:v>PDF p2</x:v>
      </x:c>
      <x:c r="H49" s="15" t="str"/>
    </x:row>
    <x:row r="50">
      <x:c r="A50" t="str">
        <x:v>银行借款</x:v>
      </x:c>
      <x:c r="B50" s="37" t="n">
        <x:v>2902</x:v>
      </x:c>
      <x:c r="C50" s="37" t="n">
        <x:v>0</x:v>
      </x:c>
      <x:c r="D50" s="37" t="str">
        <x:f>IF(OR(B50="",C50=""),"",B50-C50)</x:f>
      </x:c>
      <x:c r="E50" s="13" t="str">
        <x:f>IFERROR(B50/C50-1,"")</x:f>
      </x:c>
      <x:c r="F50" t="str">
        <x:v>人民币千元</x:v>
      </x:c>
      <x:c r="G50" s="15" t="str">
        <x:v>PDF p5</x:v>
      </x:c>
      <x:c r="H50" s="15" t="str"/>
    </x:row>
    <x:row r="51">
      <x:c r="A51" t="str">
        <x:v>或有负债/资产抵押</x:v>
      </x:c>
      <x:c r="B51" s="37" t="n">
        <x:v>0</x:v>
      </x:c>
      <x:c r="C51" s="37" t="n">
        <x:v>0</x:v>
      </x:c>
      <x:c r="D51" s="37" t="str">
        <x:f>IF(OR(B51="",C51=""),"",B51-C51)</x:f>
      </x:c>
      <x:c r="E51" s="13" t="str">
        <x:f>IFERROR(B51/C51-1,"")</x:f>
      </x:c>
      <x:c r="F51" t="str">
        <x:v>人民币千元</x:v>
      </x:c>
      <x:c r="G51" s="15" t="str">
        <x:v>PDF p34</x:v>
      </x:c>
      <x:c r="H51" s="15" t="str">
        <x:v>报告披露无重大或有负债及无资产抵押</x:v>
      </x:c>
    </x:row>
  </x:sheetData>
  <x:mergeCells>
    <x:mergeCell ref="A1:H1"/>
    <x:mergeCell ref="A2:H2"/>
    <x:mergeCell ref="A4:H4"/>
    <x:mergeCell ref="A16:H16"/>
    <x:mergeCell ref="A32:H32"/>
    <x:mergeCell ref="A42:H4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8" hidden="0" customWidth="1"/>
    <x:col min="3" max="3" width="18" hidden="0" customWidth="1"/>
    <x:col min="4" max="4" width="16" hidden="0" customWidth="1"/>
    <x:col min="5" max="5" width="13" hidden="0" customWidth="1"/>
    <x:col min="6" max="6" width="12" hidden="0" customWidth="1"/>
    <x:col min="7" max="7" width="42" hidden="0" customWidth="1"/>
  </x:cols>
  <x:sheetData>
    <x:row r="1" ht="30" customHeight="1">
      <x:c r="A1" s="3" t="str">
        <x:v>数据完整性与勾稽校验</x:v>
      </x:c>
      <x:c r="B1" s="3" t="str">
        <x:v>数据完整性与勾稽校验</x:v>
      </x:c>
      <x:c r="C1" s="3" t="str">
        <x:v>数据完整性与勾稽校验</x:v>
      </x:c>
      <x:c r="D1" s="3" t="str">
        <x:v>数据完整性与勾稽校验</x:v>
      </x:c>
      <x:c r="E1" s="3" t="str">
        <x:v>数据完整性与勾稽校验</x:v>
      </x:c>
      <x:c r="F1" s="3" t="str">
        <x:v>数据完整性与勾稽校验</x:v>
      </x:c>
      <x:c r="G1" s="3" t="str">
        <x:v>数据完整性与勾稽校验</x:v>
      </x:c>
    </x:row>
    <x:row r="2" ht="26" customHeight="1">
      <x:c r="A2" s="6" t="str">
        <x:v>所有关键小计、资产负债表平衡及分部数据均以Excel公式复核；容差0.5千元</x:v>
      </x:c>
      <x:c r="B2" s="6" t="str">
        <x:v>所有关键小计、资产负债表平衡及分部数据均以Excel公式复核；容差0.5千元</x:v>
      </x:c>
      <x:c r="C2" s="6" t="str">
        <x:v>所有关键小计、资产负债表平衡及分部数据均以Excel公式复核；容差0.5千元</x:v>
      </x:c>
      <x:c r="D2" s="6" t="str">
        <x:v>所有关键小计、资产负债表平衡及分部数据均以Excel公式复核；容差0.5千元</x:v>
      </x:c>
      <x:c r="E2" s="6" t="str">
        <x:v>所有关键小计、资产负债表平衡及分部数据均以Excel公式复核；容差0.5千元</x:v>
      </x:c>
      <x:c r="F2" s="6" t="str">
        <x:v>所有关键小计、资产负债表平衡及分部数据均以Excel公式复核；容差0.5千元</x:v>
      </x:c>
      <x:c r="G2" s="6" t="str">
        <x:v>所有关键小计、资产负债表平衡及分部数据均以Excel公式复核；容差0.5千元</x:v>
      </x:c>
    </x:row>
    <x:row r="4">
      <x:c r="A4" s="42" t="str">
        <x:v>模型状态</x:v>
      </x:c>
      <x:c r="B4" s="42" t="str">
        <x:f>IF(COUNTIF(F7:F19,"FAIL")=0,"PASS","FAIL")</x:f>
        <x:v>PASS</x:v>
      </x:c>
    </x:row>
    <x:row r="6" ht="28" customHeight="1">
      <x:c r="A6" s="11" t="str">
        <x:v>校验项</x:v>
      </x:c>
      <x:c r="B6" s="11" t="str">
        <x:v>Actual</x:v>
      </x:c>
      <x:c r="C6" s="11" t="str">
        <x:v>Expected</x:v>
      </x:c>
      <x:c r="D6" s="11" t="str">
        <x:v>Difference</x:v>
      </x:c>
      <x:c r="E6" s="11" t="str">
        <x:v>Tolerance</x:v>
      </x:c>
      <x:c r="F6" s="11" t="str">
        <x:v>Status</x:v>
      </x:c>
      <x:c r="G6" s="11" t="str">
        <x:v>说明</x:v>
      </x:c>
    </x:row>
    <x:row r="7">
      <x:c r="A7" t="str">
        <x:v>收入：利润表=收入明细合计</x:v>
      </x:c>
      <x:c r="B7" s="52" t="n">
        <x:f>'01_利润表'!B7</x:f>
        <x:v>2298391</x:v>
      </x:c>
      <x:c r="C7" s="52" t="n">
        <x:f>'04_收入拆分'!B30</x:f>
        <x:v>2298391</x:v>
      </x:c>
      <x:c r="D7" s="37" t="n">
        <x:f>B7-C7</x:f>
        <x:v>0</x:v>
      </x:c>
      <x:c r="E7" s="37" t="n">
        <x:v>0.5</x:v>
      </x:c>
      <x:c r="F7" t="str">
        <x:f>IF(ABS(D7)&lt;=E7,"PASS","FAIL")</x:f>
        <x:v>PASS</x:v>
      </x:c>
      <x:c r="G7" t="str"/>
    </x:row>
    <x:row r="8">
      <x:c r="A8" t="str">
        <x:v>毛利=收入+销售成本</x:v>
      </x:c>
      <x:c r="B8" s="52" t="n">
        <x:f>'01_利润表'!B9</x:f>
        <x:v>477268</x:v>
      </x:c>
      <x:c r="C8" s="52" t="n">
        <x:f>'01_利润表'!B7+'01_利润表'!B8</x:f>
        <x:v>477268</x:v>
      </x:c>
      <x:c r="D8" s="37" t="n">
        <x:f>B8-C8</x:f>
        <x:v>0</x:v>
      </x:c>
      <x:c r="E8" s="37" t="n">
        <x:v>0.5</x:v>
      </x:c>
      <x:c r="F8" t="str">
        <x:f>IF(ABS(D8)&lt;=E8,"PASS","FAIL")</x:f>
        <x:v>PASS</x:v>
      </x:c>
      <x:c r="G8" t="str"/>
    </x:row>
    <x:row r="9">
      <x:c r="A9" t="str">
        <x:v>分部收入合计=利润表收入</x:v>
      </x:c>
      <x:c r="B9" s="52" t="n">
        <x:f>'04_收入拆分'!B10</x:f>
        <x:v>2298391</x:v>
      </x:c>
      <x:c r="C9" s="52" t="n">
        <x:f>'01_利润表'!B7</x:f>
        <x:v>2298391</x:v>
      </x:c>
      <x:c r="D9" s="37" t="n">
        <x:f>B9-C9</x:f>
        <x:v>0</x:v>
      </x:c>
      <x:c r="E9" s="37" t="n">
        <x:v>0.5</x:v>
      </x:c>
      <x:c r="F9" t="str">
        <x:f>IF(ABS(D9)&lt;=E9,"PASS","FAIL")</x:f>
        <x:v>PASS</x:v>
      </x:c>
      <x:c r="G9" t="str"/>
    </x:row>
    <x:row r="10">
      <x:c r="A10" t="str">
        <x:v>分部毛利合计=利润表毛利</x:v>
      </x:c>
      <x:c r="B10" s="52" t="n">
        <x:f>'04_收入拆分'!E10</x:f>
        <x:v>477268</x:v>
      </x:c>
      <x:c r="C10" s="52" t="n">
        <x:f>'01_利润表'!B9</x:f>
        <x:v>477268</x:v>
      </x:c>
      <x:c r="D10" s="37" t="n">
        <x:f>B10-C10</x:f>
        <x:v>0</x:v>
      </x:c>
      <x:c r="E10" s="37" t="n">
        <x:v>0.5</x:v>
      </x:c>
      <x:c r="F10" t="str">
        <x:f>IF(ABS(D10)&lt;=E10,"PASS","FAIL")</x:f>
        <x:v>PASS</x:v>
      </x:c>
      <x:c r="G10" t="str"/>
    </x:row>
    <x:row r="11">
      <x:c r="A11" t="str">
        <x:v>税前利润=分部毛利+未分配开支</x:v>
      </x:c>
      <x:c r="B11" s="52" t="n">
        <x:f>'04_收入拆分'!E12</x:f>
        <x:v>429008</x:v>
      </x:c>
      <x:c r="C11" s="52" t="n">
        <x:f>'04_收入拆分'!E10+'04_收入拆分'!E11</x:f>
        <x:v>429008</x:v>
      </x:c>
      <x:c r="D11" s="37" t="n">
        <x:f>B11-C11</x:f>
        <x:v>0</x:v>
      </x:c>
      <x:c r="E11" s="37" t="n">
        <x:v>0.5</x:v>
      </x:c>
      <x:c r="F11" t="str">
        <x:f>IF(ABS(D11)&lt;=E11,"PASS","FAIL")</x:f>
        <x:v>PASS</x:v>
      </x:c>
      <x:c r="G11" t="str"/>
    </x:row>
    <x:row r="12">
      <x:c r="A12" t="str">
        <x:v>期内利润=归母+非控股</x:v>
      </x:c>
      <x:c r="B12" s="52" t="n">
        <x:f>'01_利润表'!B24</x:f>
        <x:v>322066</x:v>
      </x:c>
      <x:c r="C12" s="52" t="n">
        <x:f>'01_利润表'!B25+'01_利润表'!B26</x:f>
        <x:v>322066</x:v>
      </x:c>
      <x:c r="D12" s="37" t="n">
        <x:f>B12-C12</x:f>
        <x:v>0</x:v>
      </x:c>
      <x:c r="E12" s="37" t="n">
        <x:v>0.5</x:v>
      </x:c>
      <x:c r="F12" t="str">
        <x:f>IF(ABS(D12)&lt;=E12,"PASS","FAIL")</x:f>
        <x:v>PASS</x:v>
      </x:c>
      <x:c r="G12" t="str"/>
    </x:row>
    <x:row r="13">
      <x:c r="A13" t="str">
        <x:v>全面收益=利润+其他全面收益</x:v>
      </x:c>
      <x:c r="B13" s="52" t="n">
        <x:f>'03_全面收益'!B11</x:f>
        <x:v>285286</x:v>
      </x:c>
      <x:c r="C13" s="52" t="n">
        <x:f>'03_全面收益'!B7+'03_全面收益'!B10</x:f>
        <x:v>285286</x:v>
      </x:c>
      <x:c r="D13" s="37" t="n">
        <x:f>B13-C13</x:f>
        <x:v>0</x:v>
      </x:c>
      <x:c r="E13" s="37" t="n">
        <x:v>0.5</x:v>
      </x:c>
      <x:c r="F13" t="str">
        <x:f>IF(ABS(D13)&lt;=E13,"PASS","FAIL")</x:f>
        <x:v>PASS</x:v>
      </x:c>
      <x:c r="G13" t="str"/>
    </x:row>
    <x:row r="14">
      <x:c r="A14" t="str">
        <x:v>资产总额=流动+非流动</x:v>
      </x:c>
      <x:c r="B14" s="52" t="n">
        <x:f>'02_资产负债表'!B24</x:f>
        <x:v>5384791</x:v>
      </x:c>
      <x:c r="C14" s="52" t="n">
        <x:f>'02_资产负债表'!B23+'02_资产负债表'!B15</x:f>
        <x:v>5384791</x:v>
      </x:c>
      <x:c r="D14" s="37" t="n">
        <x:f>B14-C14</x:f>
        <x:v>0</x:v>
      </x:c>
      <x:c r="E14" s="37" t="n">
        <x:v>0.5</x:v>
      </x:c>
      <x:c r="F14" t="str">
        <x:f>IF(ABS(D14)&lt;=E14,"PASS","FAIL")</x:f>
        <x:v>PASS</x:v>
      </x:c>
      <x:c r="G14" t="str"/>
    </x:row>
    <x:row r="15">
      <x:c r="A15" t="str">
        <x:v>资产=负债+权益</x:v>
      </x:c>
      <x:c r="B15" s="52" t="n">
        <x:f>'02_资产负债表'!B24</x:f>
        <x:v>5384791</x:v>
      </x:c>
      <x:c r="C15" s="52" t="n">
        <x:f>'02_资产负债表'!B32+'02_资产负债表'!B38+'02_资产负债表'!B45</x:f>
        <x:v>5384791</x:v>
      </x:c>
      <x:c r="D15" s="37" t="n">
        <x:f>B15-C15</x:f>
        <x:v>0</x:v>
      </x:c>
      <x:c r="E15" s="37" t="n">
        <x:v>0.5</x:v>
      </x:c>
      <x:c r="F15" t="str">
        <x:f>IF(ABS(D15)&lt;=E15,"PASS","FAIL")</x:f>
        <x:v>PASS</x:v>
      </x:c>
      <x:c r="G15" t="str"/>
    </x:row>
    <x:row r="16">
      <x:c r="A16" t="str">
        <x:v>流动资产净额勾稽</x:v>
      </x:c>
      <x:c r="B16" s="52" t="n">
        <x:f>'02_资产负债表'!B33</x:f>
        <x:v>1353507</x:v>
      </x:c>
      <x:c r="C16" s="52" t="n">
        <x:f>'02_资产负债表'!B23-'02_资产负债表'!B32</x:f>
        <x:v>1353507</x:v>
      </x:c>
      <x:c r="D16" s="37" t="n">
        <x:f>B16-C16</x:f>
        <x:v>0</x:v>
      </x:c>
      <x:c r="E16" s="37" t="n">
        <x:v>0.5</x:v>
      </x:c>
      <x:c r="F16" t="str">
        <x:f>IF(ABS(D16)&lt;=E16,"PASS","FAIL")</x:f>
        <x:v>PASS</x:v>
      </x:c>
      <x:c r="G16" t="str"/>
    </x:row>
    <x:row r="17">
      <x:c r="A17" t="str">
        <x:v>贸易应收净额=总额-拨备</x:v>
      </x:c>
      <x:c r="B17" s="52" t="n">
        <x:f>'06_营运资本'!B11</x:f>
        <x:v>731022</x:v>
      </x:c>
      <x:c r="C17" s="52" t="n">
        <x:f>'06_营运资本'!B9+'06_营运资本'!B10</x:f>
        <x:v>731022</x:v>
      </x:c>
      <x:c r="D17" s="37" t="n">
        <x:f>B17-C17</x:f>
        <x:v>0</x:v>
      </x:c>
      <x:c r="E17" s="37" t="n">
        <x:v>0.5</x:v>
      </x:c>
      <x:c r="F17" t="str">
        <x:f>IF(ABS(D17)&lt;=E17,"PASS","FAIL")</x:f>
        <x:v>PASS</x:v>
      </x:c>
      <x:c r="G17" t="str"/>
    </x:row>
    <x:row r="18">
      <x:c r="A18" t="str">
        <x:v>贸易应收账龄合计=净额</x:v>
      </x:c>
      <x:c r="B18" s="52" t="n">
        <x:f>'06_营运资本'!B26</x:f>
        <x:v>731022</x:v>
      </x:c>
      <x:c r="C18" s="52" t="n">
        <x:f>'06_营运资本'!B11</x:f>
        <x:v>731022</x:v>
      </x:c>
      <x:c r="D18" s="37" t="n">
        <x:f>B18-C18</x:f>
        <x:v>0</x:v>
      </x:c>
      <x:c r="E18" s="37" t="n">
        <x:v>0.5</x:v>
      </x:c>
      <x:c r="F18" t="str">
        <x:f>IF(ABS(D18)&lt;=E18,"PASS","FAIL")</x:f>
        <x:v>PASS</x:v>
      </x:c>
      <x:c r="G18" t="str"/>
    </x:row>
    <x:row r="19">
      <x:c r="A19" t="str">
        <x:v>贸易应付账龄合计=贸易应付合计</x:v>
      </x:c>
      <x:c r="B19" s="52" t="n">
        <x:f>'06_营运资本'!B60</x:f>
        <x:v>519239</x:v>
      </x:c>
      <x:c r="C19" s="52" t="n">
        <x:f>'06_营运资本'!B43</x:f>
        <x:v>519239</x:v>
      </x:c>
      <x:c r="D19" s="37" t="n">
        <x:f>B19-C19</x:f>
        <x:v>0</x:v>
      </x:c>
      <x:c r="E19" s="37" t="n">
        <x:v>0.5</x:v>
      </x:c>
      <x:c r="F19" t="str">
        <x:f>IF(ABS(D19)&lt;=E19,"PASS","FAIL")</x:f>
        <x:v>PASS</x:v>
      </x:c>
      <x:c r="G19" t="str"/>
    </x:row>
  </x:sheetData>
  <x:mergeCells>
    <x:mergeCell ref="A1:G1"/>
    <x:mergeCell ref="A2:G2"/>
  </x:mergeCells>
  <x:conditionalFormatting sqref="F7:F19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66" hidden="0" customWidth="1"/>
    <x:col min="4" max="4" width="20" hidden="0" customWidth="1"/>
    <x:col min="5" max="5" width="30" hidden="0" customWidth="1"/>
    <x:col min="6" max="6" width="22" hidden="0" customWidth="1"/>
    <x:col min="7" max="7" width="40" hidden="0" customWidth="1"/>
  </x:cols>
  <x:sheetData>
    <x:row r="1" ht="30" customHeight="1">
      <x:c r="A1" s="3" t="str">
        <x:v>来源、口径与使用说明</x:v>
      </x:c>
      <x:c r="B1" s="3" t="str">
        <x:v>来源、口径与使用说明</x:v>
      </x:c>
      <x:c r="C1" s="3" t="str">
        <x:v>来源、口径与使用说明</x:v>
      </x:c>
      <x:c r="D1" s="3" t="str">
        <x:v>来源、口径与使用说明</x:v>
      </x:c>
      <x:c r="E1" s="3" t="str">
        <x:v>来源、口径与使用说明</x:v>
      </x:c>
      <x:c r="F1" s="3" t="str">
        <x:v>来源、口径与使用说明</x:v>
      </x:c>
      <x:c r="G1" s="3" t="str">
        <x:v>来源、口径与使用说明</x:v>
      </x:c>
    </x:row>
    <x:row r="2" ht="26" customHeight="1">
      <x:c r="A2" s="6" t="str">
        <x:v>本工作簿仅整理用户提供的业绩公告，未引入外部数据</x:v>
      </x:c>
      <x:c r="B2" s="6" t="str">
        <x:v>本工作簿仅整理用户提供的业绩公告，未引入外部数据</x:v>
      </x:c>
      <x:c r="C2" s="6" t="str">
        <x:v>本工作簿仅整理用户提供的业绩公告，未引入外部数据</x:v>
      </x:c>
      <x:c r="D2" s="6" t="str">
        <x:v>本工作簿仅整理用户提供的业绩公告，未引入外部数据</x:v>
      </x:c>
      <x:c r="E2" s="6" t="str">
        <x:v>本工作簿仅整理用户提供的业绩公告，未引入外部数据</x:v>
      </x:c>
      <x:c r="F2" s="6" t="str">
        <x:v>本工作簿仅整理用户提供的业绩公告，未引入外部数据</x:v>
      </x:c>
      <x:c r="G2" s="6" t="str">
        <x:v>本工作簿仅整理用户提供的业绩公告，未引入外部数据</x:v>
      </x:c>
    </x:row>
    <x:row r="5" ht="28" customHeight="1">
      <x:c r="A5" s="11" t="str">
        <x:v>类型</x:v>
      </x:c>
      <x:c r="B5" s="11" t="str">
        <x:v>项目</x:v>
      </x:c>
      <x:c r="C5" s="11" t="str">
        <x:v>内容/口径</x:v>
      </x:c>
      <x:c r="D5" s="11" t="str">
        <x:v>期间/时点</x:v>
      </x:c>
      <x:c r="E5" s="11" t="str">
        <x:v>来源文件</x:v>
      </x:c>
      <x:c r="F5" s="11" t="str">
        <x:v>参考</x:v>
      </x:c>
      <x:c r="G5" s="11" t="str">
        <x:v>备注</x:v>
      </x:c>
    </x:row>
    <x:row r="7" ht="42" customHeight="1">
      <x:c r="A7" s="54" t="str">
        <x:v>主来源</x:v>
      </x:c>
      <x:c r="B7" s="54" t="str">
        <x:v>业绩公告</x:v>
      </x:c>
      <x:c r="C7" s="54" t="str">
        <x:v>滨江服务集团有限公司截至2026年6月30日止六个月未经审计中期业绩公告</x:v>
      </x:c>
      <x:c r="D7" s="54" t="str">
        <x:v>2026H1</x:v>
      </x:c>
      <x:c r="E7" s="55" t="str">
        <x:v>26H1-滨江服务业绩.pdf</x:v>
      </x:c>
      <x:c r="F7" s="55" t="str">
        <x:v>p1-p40</x:v>
      </x:c>
      <x:c r="G7" s="54" t="str"/>
    </x:row>
    <x:row r="8" ht="42" customHeight="1">
      <x:c r="A8" s="54" t="str">
        <x:v>单位</x:v>
      </x:c>
      <x:c r="B8" s="54" t="str">
        <x:v>财务报表</x:v>
      </x:c>
      <x:c r="C8" s="54" t="str">
        <x:v>除特别标注外为人民币千元</x:v>
      </x:c>
      <x:c r="D8" s="54" t="str">
        <x:v>2026H1/2025H1</x:v>
      </x:c>
      <x:c r="E8" s="55" t="str">
        <x:v>26H1-滨江服务业绩.pdf</x:v>
      </x:c>
      <x:c r="F8" s="55" t="str">
        <x:v>p3-p18</x:v>
      </x:c>
      <x:c r="G8" s="54" t="str"/>
    </x:row>
    <x:row r="9" ht="42" customHeight="1">
      <x:c r="A9" s="54" t="str">
        <x:v>对比口径</x:v>
      </x:c>
      <x:c r="B9" s="54" t="str">
        <x:v>利润表与业务数据</x:v>
      </x:c>
      <x:c r="C9" s="54" t="str">
        <x:v>2026H1对2025H1</x:v>
      </x:c>
      <x:c r="D9" s="54" t="str">
        <x:v>六个月</x:v>
      </x:c>
      <x:c r="E9" s="55" t="str">
        <x:v>26H1-滨江服务业绩.pdf</x:v>
      </x:c>
      <x:c r="F9" s="55" t="str">
        <x:v>p2-p4,p8-p13,p23-p37</x:v>
      </x:c>
      <x:c r="G9" s="54" t="str"/>
    </x:row>
    <x:row r="10" ht="42" customHeight="1">
      <x:c r="A10" s="54" t="str">
        <x:v>对比口径</x:v>
      </x:c>
      <x:c r="B10" s="54" t="str">
        <x:v>资产负债表</x:v>
      </x:c>
      <x:c r="C10" s="54" t="str">
        <x:v>2026-06-30对2025-12-31</x:v>
      </x:c>
      <x:c r="D10" s="54" t="str">
        <x:v>时点</x:v>
      </x:c>
      <x:c r="E10" s="55" t="str">
        <x:v>26H1-滨江服务业绩.pdf</x:v>
      </x:c>
      <x:c r="F10" s="55" t="str">
        <x:v>p5-p6,p15-p18</x:v>
      </x:c>
      <x:c r="G10" s="54" t="str"/>
    </x:row>
    <x:row r="11" ht="42" customHeight="1">
      <x:c r="A11" s="54" t="str">
        <x:v>口径差异</x:v>
      </x:c>
      <x:c r="B11" s="54" t="str">
        <x:v>贸易应收款</x:v>
      </x:c>
      <x:c r="C11" s="54" t="str">
        <x:v>摘要p2的比较数624,822为2025H1；资产负债表附注p15的期初数405,757为2025年末。本簿资产负债表和营运资本采用后者。</x:v>
      </x:c>
      <x:c r="D11" s="54" t="str">
        <x:v>不同期间</x:v>
      </x:c>
      <x:c r="E11" s="55" t="str">
        <x:v>26H1-滨江服务业绩.pdf</x:v>
      </x:c>
      <x:c r="F11" s="55" t="str">
        <x:v>p2,p15</x:v>
      </x:c>
      <x:c r="G11" s="54" t="str">
        <x:v>未混用比较期</x:v>
      </x:c>
    </x:row>
    <x:row r="12" ht="42" customHeight="1">
      <x:c r="A12" s="54" t="str">
        <x:v>限制</x:v>
      </x:c>
      <x:c r="B12" s="54" t="str">
        <x:v>现金流量表</x:v>
      </x:c>
      <x:c r="C12" s="54" t="str">
        <x:v>公告未列示完整现金流量表，仅整理摘要披露的资金余额</x:v>
      </x:c>
      <x:c r="D12" s="54" t="str">
        <x:v>2026H1</x:v>
      </x:c>
      <x:c r="E12" s="55" t="str">
        <x:v>26H1-滨江服务业绩.pdf</x:v>
      </x:c>
      <x:c r="F12" s="55" t="str">
        <x:v>p2</x:v>
      </x:c>
      <x:c r="G12" s="54" t="str"/>
    </x:row>
    <x:row r="13" ht="42" customHeight="1">
      <x:c r="A13" s="54" t="str">
        <x:v>处理规则</x:v>
      </x:c>
      <x:c r="B13" s="54" t="str">
        <x:v>数值类型</x:v>
      </x:c>
      <x:c r="C13" s="54" t="str">
        <x:v>报告金额均以数值存储；同比、利润率、占比、勾稽差异均为Excel公式</x:v>
      </x:c>
      <x:c r="D13" s="54" t="str">
        <x:v>全工作簿</x:v>
      </x:c>
      <x:c r="E13" s="55" t="str">
        <x:v>26H1-滨江服务业绩.pdf</x:v>
      </x:c>
      <x:c r="F13" s="55" t="str">
        <x:v>全表</x:v>
      </x:c>
      <x:c r="G13" s="54" t="str"/>
    </x:row>
    <x:row r="14" ht="42" customHeight="1">
      <x:c r="A14" s="54" t="str">
        <x:v>处理规则</x:v>
      </x:c>
      <x:c r="B14" s="54" t="str">
        <x:v>缺失数据</x:v>
      </x:c>
      <x:c r="C14" s="54" t="str">
        <x:v>不推断缺失值；留空并在备注说明</x:v>
      </x:c>
      <x:c r="D14" s="54" t="str">
        <x:v>全工作簿</x:v>
      </x:c>
      <x:c r="E14" s="55" t="str">
        <x:v>26H1-滨江服务业绩.pdf</x:v>
      </x:c>
      <x:c r="F14" s="55" t="str">
        <x:v>全表</x:v>
      </x:c>
      <x:c r="G14" s="54" t="str"/>
    </x:row>
    <x:row r="15" ht="42" customHeight="1">
      <x:c r="A15" s="54" t="str">
        <x:v>使用说明</x:v>
      </x:c>
      <x:c r="B15" s="54" t="str">
        <x:v>颜色</x:v>
      </x:c>
      <x:c r="C15" s="54" t="str">
        <x:v>绿色字体为跨表引用；灰色为来源或口径说明</x:v>
      </x:c>
      <x:c r="D15" s="54" t="str">
        <x:v>全工作簿</x:v>
      </x:c>
      <x:c r="E15" s="55" t="str"/>
      <x:c r="F15" s="55" t="str"/>
      <x:c r="G15" s="54" t="str"/>
    </x:row>
  </x:sheetData>
  <x:mergeCells>
    <x:mergeCell ref="A1:G1"/>
    <x:mergeCell ref="A2:G2"/>
  </x:mergeCells>
  <x:pageMargins left="0.7" right="0.7" top="0.75" bottom="0.75" header="0.3" footer="0.3"/>
</x:worksheet>
</file>