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8ea126d14742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摘要" sheetId="1" r:id="Ra281cadd1f254394"/>
    <x:sheet xmlns:r="http://schemas.openxmlformats.org/officeDocument/2006/relationships" name="01_利润表" sheetId="2" r:id="R3990cd338722473c"/>
    <x:sheet xmlns:r="http://schemas.openxmlformats.org/officeDocument/2006/relationships" name="02_资产负债表" sheetId="3" r:id="R6b2aa24ca55749d8"/>
    <x:sheet xmlns:r="http://schemas.openxmlformats.org/officeDocument/2006/relationships" name="03_全面收益" sheetId="4" r:id="Rfa49264580804020"/>
    <x:sheet xmlns:r="http://schemas.openxmlformats.org/officeDocument/2006/relationships" name="04_收入拆分" sheetId="5" r:id="R07fe472e7fa34b92"/>
    <x:sheet xmlns:r="http://schemas.openxmlformats.org/officeDocument/2006/relationships" name="05_经营指标" sheetId="6" r:id="R48948217db264490"/>
    <x:sheet xmlns:r="http://schemas.openxmlformats.org/officeDocument/2006/relationships" name="06_营运资本" sheetId="7" r:id="Rc1ab69be53a5421c"/>
    <x:sheet xmlns:r="http://schemas.openxmlformats.org/officeDocument/2006/relationships" name="07_财务附注" sheetId="8" r:id="Rd39c65a63b864d3c"/>
    <x:sheet xmlns:r="http://schemas.openxmlformats.org/officeDocument/2006/relationships" name="08_校验" sheetId="9" r:id="Ra6b632c90ab54218"/>
    <x:sheet xmlns:r="http://schemas.openxmlformats.org/officeDocument/2006/relationships" name="09_来源口径" sheetId="10" r:id="Ra23804c74bea45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;[Red](#,##0);-"/>
    <x:numFmt numFmtId="201" formatCode="0.0%;[Red](0.0%);-"/>
    <x:numFmt numFmtId="202" formatCode="#,##0.0;[Red](#,##0.0);-"/>
    <x:numFmt numFmtId="203" formatCode="0.00"/>
    <x:numFmt numFmtId="204" formatCode="0.00x"/>
  </x:numFmts>
  <x:fonts count="11">
    <x:font>
      <x:sz val="11"/>
      <x:name val="Carlito"/>
    </x:font>
    <x:font>
      <x:b/>
      <x:sz val="16"/>
      <x:color rgb="FFFFFFFF"/>
      <x:name val="Carlito"/>
    </x:font>
    <x:font>
      <x:i/>
      <x:sz val="11"/>
      <x:color rgb="FF666666"/>
      <x:name val="Carlito"/>
    </x:font>
    <x:font>
      <x:b/>
      <x:sz val="11"/>
      <x:color rgb="FF17365D"/>
      <x:name val="Carlito"/>
    </x:font>
    <x:font>
      <x:i/>
      <x:sz val="9"/>
      <x:color rgb="FF666666"/>
      <x:name val="Carlito"/>
    </x:font>
    <x:font>
      <x:b/>
      <x:sz val="11"/>
      <x:name val="Carlito"/>
    </x:font>
    <x:font>
      <x:b/>
      <x:i/>
      <x:sz val="9"/>
      <x:color rgb="FF666666"/>
      <x:name val="Carlito"/>
    </x:font>
    <x:font>
      <x:b/>
      <x:i/>
      <x:sz val="9"/>
      <x:color rgb="FF17365D"/>
      <x:name val="Carlito"/>
    </x:font>
    <x:font>
      <x:b/>
      <x:sz val="11"/>
      <x:color rgb="FFFFFFFF"/>
      <x:name val="Carlito"/>
    </x:font>
    <x:font>
      <x:sz val="11"/>
      <x:color rgb="FF666666"/>
      <x:name val="Carlito"/>
    </x:font>
    <x:font>
      <x:sz val="11"/>
      <x:color rgb="FF0080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3">
    <x:border/>
    <x:border>
      <x:bottom style="thin">
        <x:color rgb="FFA6A6A6"/>
      </x:bottom>
    </x:border>
    <x:border>
      <x:top style="thin">
        <x:color rgb="FF7F7F7F"/>
      </x:top>
    </x:border>
  </x:borders>
  <x:cellStyleXfs count="1">
    <x:xf numFmtId="0" fontId="0" fillId="0" borderId="0"/>
  </x:cellStyleXfs>
  <x:cellXfs count="5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201" fontId="0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/>
    <x:xf numFmtId="200" fontId="5" fillId="5" borderId="0" xfId="0" applyNumberFormat="1" applyFont="1" applyFill="1" applyBorder="1"/>
    <x:xf numFmtId="201" fontId="5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5" fillId="5" borderId="2" xfId="0" applyNumberFormat="1" applyFont="1" applyFill="1" applyBorder="1"/>
    <x:xf numFmtId="200" fontId="5" fillId="5" borderId="2" xfId="0" applyNumberFormat="1" applyFont="1" applyFill="1" applyBorder="1"/>
    <x:xf numFmtId="201" fontId="5" fillId="5" borderId="2" xfId="0" applyNumberFormat="1" applyFont="1" applyFill="1" applyBorder="1"/>
    <x:xf numFmtId="0" fontId="6" fillId="5" borderId="2" xfId="0" applyNumberFormat="1" applyFont="1" applyFill="1" applyBorder="1" applyAlignment="1">
      <x:alignment wrapText="1"/>
    </x:xf>
    <x:xf numFmtId="200" fontId="0" fillId="3" borderId="0" xfId="0" applyNumberFormat="1" applyFont="1" applyFill="1" applyBorder="1"/>
    <x:xf numFmtId="201" fontId="0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/>
    <x:xf numFmtId="200" fontId="3" fillId="3" borderId="0" xfId="0" applyNumberFormat="1" applyFont="1" applyFill="1" applyBorder="1"/>
    <x:xf numFmtId="201" fontId="3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202" fontId="0" fillId="5" borderId="0" xfId="0" applyNumberFormat="1" applyFont="1" applyFill="1" applyBorder="1"/>
    <x:xf numFmtId="202" fontId="5" fillId="5" borderId="0" xfId="0" applyNumberFormat="1" applyFont="1" applyFill="1" applyBorder="1"/>
    <x:xf numFmtId="202" fontId="5" fillId="5" borderId="2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0" fontId="10" fillId="0" borderId="0" xfId="0" applyNumberFormat="1" applyFont="1" applyFill="1" applyBorder="1"/>
    <x:xf numFmtId="201" fontId="10" fillId="0" borderId="0" xfId="0" applyNumberFormat="1" applyFont="1" applyFill="1" applyBorder="1"/>
    <x:xf numFmtId="203" fontId="10" fillId="0" borderId="0" xfId="0" applyNumberFormat="1" applyFont="1" applyFill="1" applyBorder="1"/>
    <x:xf numFmtId="204" fontId="10" fillId="0" borderId="0" xfId="0" applyNumberFormat="1" applyFont="1" applyFill="1" applyBorder="1"/>
    <x:xf numFmtId="202" fontId="1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1a2060690445f1" /><Relationship Type="http://schemas.openxmlformats.org/officeDocument/2006/relationships/theme" Target="/xl/theme/theme1.xml" Id="R64949e8b2907438d" /><Relationship Type="http://schemas.openxmlformats.org/officeDocument/2006/relationships/sharedStrings" Target="/xl/sharedStrings.xml" Id="R72dd49d2ab6a4a54" /><Relationship Type="http://schemas.openxmlformats.org/officeDocument/2006/relationships/worksheet" Target="/xl/worksheets/sheet1.xml" Id="Ra281cadd1f254394" /><Relationship Type="http://schemas.openxmlformats.org/officeDocument/2006/relationships/worksheet" Target="/xl/worksheets/sheet2.xml" Id="R3990cd338722473c" /><Relationship Type="http://schemas.openxmlformats.org/officeDocument/2006/relationships/worksheet" Target="/xl/worksheets/sheet3.xml" Id="R6b2aa24ca55749d8" /><Relationship Type="http://schemas.openxmlformats.org/officeDocument/2006/relationships/worksheet" Target="/xl/worksheets/sheet4.xml" Id="Rfa49264580804020" /><Relationship Type="http://schemas.openxmlformats.org/officeDocument/2006/relationships/worksheet" Target="/xl/worksheets/sheet5.xml" Id="R07fe472e7fa34b92" /><Relationship Type="http://schemas.openxmlformats.org/officeDocument/2006/relationships/worksheet" Target="/xl/worksheets/sheet6.xml" Id="R48948217db264490" /><Relationship Type="http://schemas.openxmlformats.org/officeDocument/2006/relationships/worksheet" Target="/xl/worksheets/sheet7.xml" Id="Rc1ab69be53a5421c" /><Relationship Type="http://schemas.openxmlformats.org/officeDocument/2006/relationships/worksheet" Target="/xl/worksheets/sheet8.xml" Id="Rd39c65a63b864d3c" /><Relationship Type="http://schemas.openxmlformats.org/officeDocument/2006/relationships/worksheet" Target="/xl/worksheets/sheet9.xml" Id="Ra6b632c90ab54218" /><Relationship Type="http://schemas.openxmlformats.org/officeDocument/2006/relationships/worksheet" Target="/xl/worksheets/sheet10.xml" Id="Ra23804c74bea456e" /><Relationship Type="http://schemas.microsoft.com/office/2017/10/relationships/person" Target="/xl/persons/person.xml" Id="R0b10c7e8fa2148f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5bb2d5c772b418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分业务收入对比（人民币千元）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2026H1</c:v>
          </c:tx>
          <c:cat>
            <c:strRef>
              <c:f>'00_摘要'!$A$22:$A$26</c:f>
              <c:strCache>
                <c:ptCount val="0"/>
              </c:strCache>
            </c:strRef>
          </c:cat>
          <c:val>
            <c:numRef>
              <c:f>'00_摘要'!$B$22:$B$26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2025H1</c:v>
          </c:tx>
          <c:cat>
            <c:strRef>
              <c:f>'00_摘要'!$A$22:$A$26</c:f>
              <c:strCache>
                <c:ptCount val="0"/>
              </c:strCache>
            </c:strRef>
          </c:cat>
          <c:val>
            <c:numRef>
              <c:f>'00_摘要'!$C$22:$C$26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20</xdr:row>
      <xdr:rowOff>0</xdr:rowOff>
    </xdr:from>
    <xdr:to>
      <xdr:col>12</xdr:col>
      <xdr:colOff>0</xdr:colOff>
      <xdr:row>38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5bb2d5c772b418e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OpenAI" id="{1AF8E32C-3703-4638-8672-3684FC8C8A6A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ba9f72f1088405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7" hidden="0" customWidth="1"/>
    <x:col min="3" max="3" width="17" hidden="0" customWidth="1"/>
    <x:col min="4" max="4" width="17" hidden="0" customWidth="1"/>
    <x:col min="5" max="5" width="14" hidden="0" customWidth="1"/>
    <x:col min="6" max="6" width="18" hidden="0" customWidth="1"/>
    <x:col min="7" max="7" width="14" hidden="0" customWidth="1"/>
    <x:col min="8" max="8" width="34" hidden="0" customWidth="1"/>
  </x:cols>
  <x:sheetData>
    <x:row r="1" ht="30" customHeight="1">
      <x:c r="A1" s="3" t="str">
        <x:v>中海物业2026年上半年财务数据整理</x:v>
      </x:c>
      <x:c r="B1" s="3" t="str">
        <x:v>中海物业2026年上半年财务数据整理</x:v>
      </x:c>
      <x:c r="C1" s="3" t="str">
        <x:v>中海物业2026年上半年财务数据整理</x:v>
      </x:c>
      <x:c r="D1" s="3" t="str">
        <x:v>中海物业2026年上半年财务数据整理</x:v>
      </x:c>
      <x:c r="E1" s="3" t="str">
        <x:v>中海物业2026年上半年财务数据整理</x:v>
      </x:c>
      <x:c r="F1" s="3" t="str">
        <x:v>中海物业2026年上半年财务数据整理</x:v>
      </x:c>
      <x:c r="G1" s="3" t="str">
        <x:v>中海物业2026年上半年财务数据整理</x:v>
      </x:c>
      <x:c r="H1" s="3" t="str">
        <x:v>中海物业2026年上半年财务数据整理</x:v>
      </x:c>
    </x:row>
    <x:row r="2" ht="26" customHeight="1">
      <x:c r="A2" s="6" t="str">
        <x:v>截至2026年6月30日止六个月 | 未经审计 | 币种：人民币 | 报告金额默认人民币千元</x:v>
      </x:c>
      <x:c r="B2" s="6" t="str">
        <x:v>截至2026年6月30日止六个月 | 未经审计 | 币种：人民币 | 报告金额默认人民币千元</x:v>
      </x:c>
      <x:c r="C2" s="6" t="str">
        <x:v>截至2026年6月30日止六个月 | 未经审计 | 币种：人民币 | 报告金额默认人民币千元</x:v>
      </x:c>
      <x:c r="D2" s="6" t="str">
        <x:v>截至2026年6月30日止六个月 | 未经审计 | 币种：人民币 | 报告金额默认人民币千元</x:v>
      </x:c>
      <x:c r="E2" s="6" t="str">
        <x:v>截至2026年6月30日止六个月 | 未经审计 | 币种：人民币 | 报告金额默认人民币千元</x:v>
      </x:c>
      <x:c r="F2" s="6" t="str">
        <x:v>截至2026年6月30日止六个月 | 未经审计 | 币种：人民币 | 报告金额默认人民币千元</x:v>
      </x:c>
      <x:c r="G2" s="6" t="str">
        <x:v>截至2026年6月30日止六个月 | 未经审计 | 币种：人民币 | 报告金额默认人民币千元</x:v>
      </x:c>
      <x:c r="H2" s="6" t="str">
        <x:v>截至2026年6月30日止六个月 | 未经审计 | 币种：人民币 | 报告金额默认人民币千元</x:v>
      </x:c>
    </x:row>
    <x:row r="4">
      <x:c r="A4" s="42" t="str">
        <x:v>工作簿状态</x:v>
      </x:c>
      <x:c r="B4" s="42" t="str">
        <x:v>PASS（见08_校验）</x:v>
      </x:c>
      <x:c r="D4" s="45" t="str">
        <x:v>重要：2025H1利润表、全面收益及分部比较数因同一控制下业务合并而重列；资产负债表比较时点为2025年末。</x:v>
      </x:c>
      <x:c r="E4" s="45" t="str">
        <x:v>重要：2025H1利润表、全面收益及分部比较数因同一控制下业务合并而重列；资产负债表比较时点为2025年末。</x:v>
      </x:c>
      <x:c r="F4" s="45" t="str">
        <x:v>重要：2025H1利润表、全面收益及分部比较数因同一控制下业务合并而重列；资产负债表比较时点为2025年末。</x:v>
      </x:c>
      <x:c r="G4" s="45" t="str">
        <x:v>重要：2025H1利润表、全面收益及分部比较数因同一控制下业务合并而重列；资产负债表比较时点为2025年末。</x:v>
      </x:c>
      <x:c r="H4" s="45" t="str">
        <x:v>重要：2025H1利润表、全面收益及分部比较数因同一控制下业务合并而重列；资产负债表比较时点为2025年末。</x:v>
      </x:c>
    </x:row>
    <x:row r="6" ht="22" customHeight="1">
      <x:c r="A6" s="36" t="str">
        <x:v>核心财务指标</x:v>
      </x:c>
      <x:c r="B6" s="36" t="str">
        <x:v>核心财务指标</x:v>
      </x:c>
      <x:c r="C6" s="36" t="str">
        <x:v>核心财务指标</x:v>
      </x:c>
      <x:c r="D6" s="36" t="str">
        <x:v>核心财务指标</x:v>
      </x:c>
      <x:c r="E6" s="36" t="str">
        <x:v>核心财务指标</x:v>
      </x:c>
      <x:c r="F6" s="36" t="str">
        <x:v>核心财务指标</x:v>
      </x:c>
      <x:c r="G6" s="36" t="str">
        <x:v>核心财务指标</x:v>
      </x:c>
      <x:c r="H6" s="36" t="str">
        <x:v>核心财务指标</x:v>
      </x:c>
    </x:row>
    <x:row r="7" ht="28" customHeight="1">
      <x:c r="A7" s="11" t="str">
        <x:v>指标</x:v>
      </x:c>
      <x:c r="B7" s="11" t="str">
        <x:v>2026H1/期末</x:v>
      </x:c>
      <x:c r="C7" s="11" t="str">
        <x:v>2025H1/期初</x:v>
      </x:c>
      <x:c r="D7" s="11" t="str">
        <x:v>变动额</x:v>
      </x:c>
      <x:c r="E7" s="11" t="str">
        <x:v>变动率</x:v>
      </x:c>
      <x:c r="F7" s="11" t="str">
        <x:v>单位</x:v>
      </x:c>
      <x:c r="G7" s="11" t="str">
        <x:v>来源</x:v>
      </x:c>
      <x:c r="H7" s="11" t="str">
        <x:v>备注</x:v>
      </x:c>
    </x:row>
    <x:row r="8">
      <x:c r="A8" t="str">
        <x:v>营业收入</x:v>
      </x:c>
      <x:c r="B8" s="48" t="n">
        <x:f>'01_利润表'!B7</x:f>
        <x:v>7484778</x:v>
      </x:c>
      <x:c r="C8" s="48" t="n">
        <x:f>'01_利润表'!C7</x:f>
        <x:v>7160773</x:v>
      </x:c>
      <x:c r="D8" s="48" t="n">
        <x:f>B8-C8</x:f>
        <x:v>324005</x:v>
      </x:c>
      <x:c r="E8" s="49" t="n">
        <x:f>IFERROR(B8/C8-1,"")</x:f>
        <x:v>0.04524721004282628</x:v>
      </x:c>
      <x:c r="F8" t="str">
        <x:v>人民币千元</x:v>
      </x:c>
      <x:c r="G8" t="str">
        <x:v>PDF p25</x:v>
      </x:c>
      <x:c r="H8" t="str"/>
    </x:row>
    <x:row r="9">
      <x:c r="A9" t="str">
        <x:v>毛利</x:v>
      </x:c>
      <x:c r="B9" s="48" t="n">
        <x:f>'01_利润表'!B9</x:f>
        <x:v>1113395</x:v>
      </x:c>
      <x:c r="C9" s="48" t="n">
        <x:f>'01_利润表'!C9</x:f>
        <x:v>1210368</x:v>
      </x:c>
      <x:c r="D9" s="48" t="n">
        <x:f>B9-C9</x:f>
        <x:v>-96973</x:v>
      </x:c>
      <x:c r="E9" s="49" t="n">
        <x:f>IFERROR(B9/C9-1,"")</x:f>
        <x:v>-0.08011860855541453</x:v>
      </x:c>
      <x:c r="F9" t="str">
        <x:v>人民币千元</x:v>
      </x:c>
      <x:c r="G9" t="str">
        <x:v>PDF p25</x:v>
      </x:c>
      <x:c r="H9" t="str"/>
    </x:row>
    <x:row r="10">
      <x:c r="A10" t="str">
        <x:v>毛利率</x:v>
      </x:c>
      <x:c r="B10" s="49" t="n">
        <x:f>'01_利润表'!B9/'01_利润表'!B7</x:f>
        <x:v>0.14875457896012415</x:v>
      </x:c>
      <x:c r="C10" s="49" t="n">
        <x:f>'01_利润表'!C9/'01_利润表'!C7</x:f>
        <x:v>0.16902756168921987</x:v>
      </x:c>
      <x:c r="D10" s="49" t="n">
        <x:f>B10-C10</x:f>
        <x:v>-0.020272982729095723</x:v>
      </x:c>
      <x:c r="E10" s="49" t="n">
        <x:f>IFERROR(B10/C10-1,"")</x:f>
        <x:v>-0.11993891721854422</x:v>
      </x:c>
      <x:c r="F10" t="str">
        <x:v>%</x:v>
      </x:c>
      <x:c r="G10" t="str">
        <x:v>计算</x:v>
      </x:c>
      <x:c r="H10" t="str">
        <x:v>毛利/收入</x:v>
      </x:c>
    </x:row>
    <x:row r="11">
      <x:c r="A11" t="str">
        <x:v>期内利润</x:v>
      </x:c>
      <x:c r="B11" s="48" t="n">
        <x:f>'01_利润表'!B20</x:f>
        <x:v>701328</x:v>
      </x:c>
      <x:c r="C11" s="48" t="n">
        <x:f>'01_利润表'!C20</x:f>
        <x:v>775629</x:v>
      </x:c>
      <x:c r="D11" s="48" t="n">
        <x:f>B11-C11</x:f>
        <x:v>-74301</x:v>
      </x:c>
      <x:c r="E11" s="49" t="n">
        <x:f>IFERROR(B11/C11-1,"")</x:f>
        <x:v>-0.09579451000413852</x:v>
      </x:c>
      <x:c r="F11" t="str">
        <x:v>人民币千元</x:v>
      </x:c>
      <x:c r="G11" t="str">
        <x:v>PDF p25</x:v>
      </x:c>
      <x:c r="H11" t="str"/>
    </x:row>
    <x:row r="12">
      <x:c r="A12" t="str">
        <x:v>归母净利润</x:v>
      </x:c>
      <x:c r="B12" s="48" t="n">
        <x:f>'01_利润表'!B21</x:f>
        <x:v>700583</x:v>
      </x:c>
      <x:c r="C12" s="48" t="n">
        <x:f>'01_利润表'!C21</x:f>
        <x:v>770187</x:v>
      </x:c>
      <x:c r="D12" s="48" t="n">
        <x:f>B12-C12</x:f>
        <x:v>-69604</x:v>
      </x:c>
      <x:c r="E12" s="49" t="n">
        <x:f>IFERROR(B12/C12-1,"")</x:f>
        <x:v>-0.09037285750084068</x:v>
      </x:c>
      <x:c r="F12" t="str">
        <x:v>人民币千元</x:v>
      </x:c>
      <x:c r="G12" t="str">
        <x:v>PDF p25</x:v>
      </x:c>
      <x:c r="H12" t="str"/>
    </x:row>
    <x:row r="13">
      <x:c r="A13" t="str">
        <x:v>每股基本盈利</x:v>
      </x:c>
      <x:c r="B13" s="50" t="n">
        <x:f>'01_利润表'!B24</x:f>
        <x:v>21.33</x:v>
      </x:c>
      <x:c r="C13" s="50" t="n">
        <x:f>'01_利润表'!C24</x:f>
        <x:v>23.45</x:v>
      </x:c>
      <x:c r="D13" s="50" t="n">
        <x:f>B13-C13</x:f>
        <x:v>-2.120000000000001</x:v>
      </x:c>
      <x:c r="E13" s="50" t="n">
        <x:f>IFERROR(B13/C13-1,"")</x:f>
        <x:v>-0.09040511727078893</x:v>
      </x:c>
      <x:c r="F13" t="str">
        <x:v>人民币分/股</x:v>
      </x:c>
      <x:c r="G13" t="str">
        <x:v>PDF p25</x:v>
      </x:c>
      <x:c r="H13" t="str"/>
    </x:row>
    <x:row r="14">
      <x:c r="A14" t="str">
        <x:v>现金及银行结余</x:v>
      </x:c>
      <x:c r="B14" s="48" t="n">
        <x:f>'02_资产负债表'!B27</x:f>
        <x:v>5733322</x:v>
      </x:c>
      <x:c r="C14" s="48" t="n">
        <x:f>'02_资产负债表'!C27</x:f>
        <x:v>6270725</x:v>
      </x:c>
      <x:c r="D14" s="48" t="n">
        <x:f>B14-C14</x:f>
        <x:v>-537403</x:v>
      </x:c>
      <x:c r="E14" s="49" t="n">
        <x:f>IFERROR(B14/C14-1,"")</x:f>
        <x:v>-0.08570029781245392</x:v>
      </x:c>
      <x:c r="F14" t="str">
        <x:v>人民币千元</x:v>
      </x:c>
      <x:c r="G14" t="str">
        <x:v>PDF p27-28</x:v>
      </x:c>
      <x:c r="H14" t="str">
        <x:v>期末对2025年末</x:v>
      </x:c>
    </x:row>
    <x:row r="15">
      <x:c r="A15" t="str">
        <x:v>贸易应收款项净额</x:v>
      </x:c>
      <x:c r="B15" s="48" t="n">
        <x:f>'06_营运资本'!B9</x:f>
        <x:v>3980423</x:v>
      </x:c>
      <x:c r="C15" s="48" t="n">
        <x:f>'06_营运资本'!C9</x:f>
        <x:v>2876764</x:v>
      </x:c>
      <x:c r="D15" s="48" t="n">
        <x:f>B15-C15</x:f>
        <x:v>1103659</x:v>
      </x:c>
      <x:c r="E15" s="49" t="n">
        <x:f>IFERROR(B15/C15-1,"")</x:f>
        <x:v>0.3836459994632859</x:v>
      </x:c>
      <x:c r="F15" t="str">
        <x:v>人民币千元</x:v>
      </x:c>
      <x:c r="G15" t="str">
        <x:v>PDF p38-39</x:v>
      </x:c>
      <x:c r="H15" t="str">
        <x:v>期末对2025年末</x:v>
      </x:c>
    </x:row>
    <x:row r="16">
      <x:c r="A16" t="str">
        <x:v>流动比率</x:v>
      </x:c>
      <x:c r="B16" s="51" t="n">
        <x:f>'02_资产负债表'!B28/'02_资产负债表'!B41</x:f>
        <x:v>1.771297041307478</x:v>
      </x:c>
      <x:c r="C16" s="51" t="n">
        <x:f>'02_资产负债表'!C28/'02_资产负债表'!C41</x:f>
        <x:v>1.745766059844676</x:v>
      </x:c>
      <x:c r="D16" s="51" t="n">
        <x:f>B16-C16</x:f>
        <x:v>0.02553098146280197</x:v>
      </x:c>
      <x:c r="E16" s="49" t="n">
        <x:f>IFERROR(B16/C16-1,"")</x:f>
        <x:v>0.014624514733132976</x:v>
      </x:c>
      <x:c r="F16" t="str">
        <x:v>倍</x:v>
      </x:c>
      <x:c r="G16" t="str">
        <x:v>计算</x:v>
      </x:c>
      <x:c r="H16" t="str">
        <x:v>流动资产/流动负债</x:v>
      </x:c>
    </x:row>
    <x:row r="17">
      <x:c r="A17" t="str">
        <x:v>资产负债率</x:v>
      </x:c>
      <x:c r="B17" s="49" t="n">
        <x:f>('02_资产负债表'!B41+'02_资产负债表'!B47)/'02_资产负债表'!B29</x:f>
        <x:v>0.5357958986515248</x:v>
      </x:c>
      <x:c r="C17" s="49" t="n">
        <x:f>('02_资产负债表'!C41+'02_资产负债表'!C47)/'02_资产负债表'!C29</x:f>
        <x:v>0.5423637950784327</x:v>
      </x:c>
      <x:c r="D17" s="49" t="n">
        <x:f>B17-C17</x:f>
        <x:v>-0.006567896426907915</x:v>
      </x:c>
      <x:c r="E17" s="49" t="n">
        <x:f>IFERROR(B17/C17-1,"")</x:f>
        <x:v>-0.012109761909823158</x:v>
      </x:c>
      <x:c r="F17" t="str">
        <x:v>%</x:v>
      </x:c>
      <x:c r="G17" t="str">
        <x:v>计算</x:v>
      </x:c>
      <x:c r="H17" t="str">
        <x:v>负债合计/资产合计</x:v>
      </x:c>
    </x:row>
    <x:row r="20" ht="22" customHeight="1">
      <x:c r="A20" s="36" t="str">
        <x:v>收入结构</x:v>
      </x:c>
      <x:c r="B20" s="36" t="str">
        <x:v>收入结构</x:v>
      </x:c>
      <x:c r="C20" s="36" t="str">
        <x:v>收入结构</x:v>
      </x:c>
      <x:c r="D20" s="36" t="str">
        <x:v>收入结构</x:v>
      </x:c>
      <x:c r="E20" s="36" t="str">
        <x:v>收入结构</x:v>
      </x:c>
      <x:c r="F20" s="36" t="str">
        <x:v>收入结构</x:v>
      </x:c>
      <x:c r="G20" s="36" t="str">
        <x:v>收入结构</x:v>
      </x:c>
      <x:c r="H20" s="36" t="str">
        <x:v>收入结构</x:v>
      </x:c>
    </x:row>
    <x:row r="21">
      <x:c r="A21" s="8" t="str">
        <x:v>业务板块</x:v>
      </x:c>
      <x:c r="B21" s="8" t="str">
        <x:v>2026H1</x:v>
      </x:c>
      <x:c r="C21" s="8" t="str">
        <x:v>2025H1</x:v>
      </x:c>
    </x:row>
    <x:row r="22">
      <x:c r="A22" t="str">
        <x:v>物业管理服务</x:v>
      </x:c>
      <x:c r="B22" t="n">
        <x:v>6201995</x:v>
      </x:c>
      <x:c r="C22" t="n">
        <x:v>5667678</x:v>
      </x:c>
    </x:row>
    <x:row r="23">
      <x:c r="A23" t="str">
        <x:v>非业主增值服务</x:v>
      </x:c>
      <x:c r="B23" t="n">
        <x:v>732824</x:v>
      </x:c>
      <x:c r="C23" t="n">
        <x:v>857815</x:v>
      </x:c>
    </x:row>
    <x:row r="24">
      <x:c r="A24" t="str">
        <x:v>住户增值服务</x:v>
      </x:c>
      <x:c r="B24" t="n">
        <x:v>524567</x:v>
      </x:c>
      <x:c r="C24" t="n">
        <x:v>607989</x:v>
      </x:c>
    </x:row>
    <x:row r="25">
      <x:c r="A25" t="str">
        <x:v>增值服务小计</x:v>
      </x:c>
      <x:c r="B25" t="n">
        <x:v>1257391</x:v>
      </x:c>
      <x:c r="C25" t="n">
        <x:v>1465804</x:v>
      </x:c>
    </x:row>
    <x:row r="26">
      <x:c r="A26" t="str">
        <x:v>停车位买卖业务</x:v>
      </x:c>
      <x:c r="B26" t="n">
        <x:v>25392</x:v>
      </x:c>
      <x:c r="C26" t="n">
        <x:v>27291</x:v>
      </x:c>
    </x:row>
  </x:sheetData>
  <x:mergeCells>
    <x:mergeCell ref="A1:H1"/>
    <x:mergeCell ref="A2:H2"/>
    <x:mergeCell ref="D4:H4"/>
    <x:mergeCell ref="A6:H6"/>
    <x:mergeCell ref="A20:H20"/>
  </x:mergeCells>
  <x:pageMargins left="0.7" right="0.7" top="0.75" bottom="0.75" header="0.3" footer="0.3"/>
  <x:drawing xmlns:r="http://schemas.openxmlformats.org/officeDocument/2006/relationships" r:id="R2ba9f72f10884050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17" hidden="0" customWidth="1"/>
    <x:col min="3" max="3" width="17" hidden="0" customWidth="1"/>
    <x:col min="4" max="4" width="17" hidden="0" customWidth="1"/>
    <x:col min="5" max="5" width="14" hidden="0" customWidth="1"/>
    <x:col min="6" max="6" width="14" hidden="0" customWidth="1"/>
  </x:cols>
  <x:sheetData>
    <x:row r="1" ht="30" customHeight="1">
      <x:c r="A1" s="3" t="str">
        <x:v>中期简明合并利润表</x:v>
      </x:c>
      <x:c r="B1" s="3" t="str">
        <x:v>中期简明合并利润表</x:v>
      </x:c>
      <x:c r="C1" s="3" t="str">
        <x:v>中期简明合并利润表</x:v>
      </x:c>
      <x:c r="D1" s="3" t="str">
        <x:v>中期简明合并利润表</x:v>
      </x:c>
      <x:c r="E1" s="3" t="str">
        <x:v>中期简明合并利润表</x:v>
      </x:c>
      <x:c r="F1" s="3" t="str">
        <x:v>中期简明合并利润表</x:v>
      </x:c>
    </x:row>
    <x:row r="2" ht="26" customHeight="1">
      <x:c r="A2" s="6" t="str">
        <x:v>截至2026年6月30日止六个月 | 2025H1比较数已重列 | 人民币千元</x:v>
      </x:c>
      <x:c r="B2" s="6" t="str">
        <x:v>截至2026年6月30日止六个月 | 2025H1比较数已重列 | 人民币千元</x:v>
      </x:c>
      <x:c r="C2" s="6" t="str">
        <x:v>截至2026年6月30日止六个月 | 2025H1比较数已重列 | 人民币千元</x:v>
      </x:c>
      <x:c r="D2" s="6" t="str">
        <x:v>截至2026年6月30日止六个月 | 2025H1比较数已重列 | 人民币千元</x:v>
      </x:c>
      <x:c r="E2" s="6" t="str">
        <x:v>截至2026年6月30日止六个月 | 2025H1比较数已重列 | 人民币千元</x:v>
      </x:c>
      <x:c r="F2" s="6" t="str">
        <x:v>截至2026年6月30日止六个月 | 2025H1比较数已重列 | 人民币千元</x:v>
      </x:c>
    </x:row>
    <x:row r="5" ht="28" customHeight="1">
      <x:c r="A5" s="11" t="str">
        <x:v>项目</x:v>
      </x:c>
      <x:c r="B5" s="11" t="str">
        <x:v>2026H1/期末</x:v>
      </x:c>
      <x:c r="C5" s="11" t="str">
        <x:v>2025H1/期初</x:v>
      </x:c>
      <x:c r="D5" s="11" t="str">
        <x:v>变动额</x:v>
      </x:c>
      <x:c r="E5" s="11" t="str">
        <x:v>变动率</x:v>
      </x:c>
      <x:c r="F5" s="11" t="str">
        <x:v>来源</x:v>
      </x:c>
    </x:row>
    <x:row r="7">
      <x:c r="A7" t="str">
        <x:v>收入</x:v>
      </x:c>
      <x:c r="B7" s="12" t="n">
        <x:v>7484778</x:v>
      </x:c>
      <x:c r="C7" s="12" t="n">
        <x:v>7160773</x:v>
      </x:c>
      <x:c r="D7" s="12" t="n">
        <x:f>IF(OR(B7="",C7=""),"",B7-C7)</x:f>
        <x:v>324005</x:v>
      </x:c>
      <x:c r="E7" s="13" t="n">
        <x:f>IFERROR(B7/C7-1,"")</x:f>
        <x:v>0.04524721004282628</x:v>
      </x:c>
      <x:c r="F7" s="15" t="str">
        <x:v>PDF p25</x:v>
      </x:c>
    </x:row>
    <x:row r="8">
      <x:c r="A8" t="str">
        <x:v>直接经营开支</x:v>
      </x:c>
      <x:c r="B8" s="12" t="n">
        <x:v>-6371383</x:v>
      </x:c>
      <x:c r="C8" s="12" t="n">
        <x:v>-5950405</x:v>
      </x:c>
      <x:c r="D8" s="12" t="n">
        <x:f>IF(OR(B8="",C8=""),"",B8-C8)</x:f>
        <x:v>-420978</x:v>
      </x:c>
      <x:c r="E8" s="13" t="n">
        <x:f>IFERROR(B8/C8-1,"")</x:f>
        <x:v>0.07074778943618121</x:v>
      </x:c>
      <x:c r="F8" s="15" t="str">
        <x:v>PDF p25</x:v>
      </x:c>
    </x:row>
    <x:row r="9">
      <x:c r="A9" s="24" t="str">
        <x:v>毛利</x:v>
      </x:c>
      <x:c r="B9" s="25" t="n">
        <x:v>1113395</x:v>
      </x:c>
      <x:c r="C9" s="25" t="n">
        <x:v>1210368</x:v>
      </x:c>
      <x:c r="D9" s="25" t="n">
        <x:f>IF(OR(B9="",C9=""),"",B9-C9)</x:f>
        <x:v>-96973</x:v>
      </x:c>
      <x:c r="E9" s="26" t="n">
        <x:f>IFERROR(B9/C9-1,"")</x:f>
        <x:v>-0.08011860855541453</x:v>
      </x:c>
      <x:c r="F9" s="27" t="str">
        <x:v>PDF p25</x:v>
      </x:c>
    </x:row>
    <x:row r="10">
      <x:c r="A10" t="str">
        <x:v>其他收入及收益净额</x:v>
      </x:c>
      <x:c r="B10" s="12" t="n">
        <x:v>64901</x:v>
      </x:c>
      <x:c r="C10" s="12" t="n">
        <x:v>54102</x:v>
      </x:c>
      <x:c r="D10" s="12" t="n">
        <x:f>IF(OR(B10="",C10=""),"",B10-C10)</x:f>
        <x:v>10799</x:v>
      </x:c>
      <x:c r="E10" s="13" t="n">
        <x:f>IFERROR(B10/C10-1,"")</x:f>
        <x:v>0.19960445085209422</x:v>
      </x:c>
      <x:c r="F10" s="15" t="str">
        <x:v>PDF p25</x:v>
      </x:c>
    </x:row>
    <x:row r="11">
      <x:c r="A11" t="str">
        <x:v>投资物业公平值亏损</x:v>
      </x:c>
      <x:c r="B11" s="12" t="n">
        <x:v>-1614</x:v>
      </x:c>
      <x:c r="C11" s="12" t="n">
        <x:v>-4840</x:v>
      </x:c>
      <x:c r="D11" s="12" t="n">
        <x:f>IF(OR(B11="",C11=""),"",B11-C11)</x:f>
        <x:v>3226</x:v>
      </x:c>
      <x:c r="E11" s="13" t="n">
        <x:f>IFERROR(B11/C11-1,"")</x:f>
        <x:v>-0.6665289256198348</x:v>
      </x:c>
      <x:c r="F11" s="15" t="str">
        <x:v>PDF p25</x:v>
      </x:c>
    </x:row>
    <x:row r="12">
      <x:c r="A12" t="str">
        <x:v>销售及行政开支</x:v>
      </x:c>
      <x:c r="B12" s="12" t="n">
        <x:v>-183332</x:v>
      </x:c>
      <x:c r="C12" s="12" t="n">
        <x:v>-153735</x:v>
      </x:c>
      <x:c r="D12" s="12" t="n">
        <x:f>IF(OR(B12="",C12=""),"",B12-C12)</x:f>
        <x:v>-29597</x:v>
      </x:c>
      <x:c r="E12" s="13" t="n">
        <x:f>IFERROR(B12/C12-1,"")</x:f>
        <x:v>0.19251959540768215</x:v>
      </x:c>
      <x:c r="F12" s="15" t="str">
        <x:v>PDF p25</x:v>
      </x:c>
    </x:row>
    <x:row r="13">
      <x:c r="A13" t="str">
        <x:v>金融及合同资产减值亏损净额</x:v>
      </x:c>
      <x:c r="B13" s="12" t="n">
        <x:v>-69949</x:v>
      </x:c>
      <x:c r="C13" s="12" t="n">
        <x:v>-73997</x:v>
      </x:c>
      <x:c r="D13" s="12" t="n">
        <x:f>IF(OR(B13="",C13=""),"",B13-C13)</x:f>
        <x:v>4048</x:v>
      </x:c>
      <x:c r="E13" s="13" t="n">
        <x:f>IFERROR(B13/C13-1,"")</x:f>
        <x:v>-0.05470492046974873</x:v>
      </x:c>
      <x:c r="F13" s="15" t="str">
        <x:v>PDF p25</x:v>
      </x:c>
    </x:row>
    <x:row r="14">
      <x:c r="A14" s="24" t="str">
        <x:v>经营溢利</x:v>
      </x:c>
      <x:c r="B14" s="25" t="n">
        <x:v>923401</x:v>
      </x:c>
      <x:c r="C14" s="25" t="n">
        <x:v>1031898</x:v>
      </x:c>
      <x:c r="D14" s="25" t="n">
        <x:f>IF(OR(B14="",C14=""),"",B14-C14)</x:f>
        <x:v>-108497</x:v>
      </x:c>
      <x:c r="E14" s="26" t="n">
        <x:f>IFERROR(B14/C14-1,"")</x:f>
        <x:v>-0.10514314399291402</x:v>
      </x:c>
      <x:c r="F14" s="27" t="str">
        <x:v>PDF p25</x:v>
      </x:c>
    </x:row>
    <x:row r="15">
      <x:c r="A15" t="str">
        <x:v>财务费用</x:v>
      </x:c>
      <x:c r="B15" s="12" t="n">
        <x:v>-2759</x:v>
      </x:c>
      <x:c r="C15" s="12" t="n">
        <x:v>-4591</x:v>
      </x:c>
      <x:c r="D15" s="12" t="n">
        <x:f>IF(OR(B15="",C15=""),"",B15-C15)</x:f>
        <x:v>1832</x:v>
      </x:c>
      <x:c r="E15" s="13" t="n">
        <x:f>IFERROR(B15/C15-1,"")</x:f>
        <x:v>-0.39904160313657155</x:v>
      </x:c>
      <x:c r="F15" s="15" t="str">
        <x:v>PDF p25</x:v>
      </x:c>
    </x:row>
    <x:row r="16">
      <x:c r="A16" t="str">
        <x:v>应占合营企业溢利</x:v>
      </x:c>
      <x:c r="B16" s="12" t="n">
        <x:v>1219</x:v>
      </x:c>
      <x:c r="C16" s="12" t="n">
        <x:v>5451</x:v>
      </x:c>
      <x:c r="D16" s="12" t="n">
        <x:f>IF(OR(B16="",C16=""),"",B16-C16)</x:f>
        <x:v>-4232</x:v>
      </x:c>
      <x:c r="E16" s="13" t="n">
        <x:f>IFERROR(B16/C16-1,"")</x:f>
        <x:v>-0.7763713080168777</x:v>
      </x:c>
      <x:c r="F16" s="15" t="str">
        <x:v>PDF p25</x:v>
      </x:c>
    </x:row>
    <x:row r="17">
      <x:c r="A17" t="str">
        <x:v>应占联营公司溢利</x:v>
      </x:c>
      <x:c r="B17" s="12" t="n">
        <x:v>84</x:v>
      </x:c>
      <x:c r="C17" s="12" t="n">
        <x:v>91</x:v>
      </x:c>
      <x:c r="D17" s="12" t="n">
        <x:f>IF(OR(B17="",C17=""),"",B17-C17)</x:f>
        <x:v>-7</x:v>
      </x:c>
      <x:c r="E17" s="13" t="n">
        <x:f>IFERROR(B17/C17-1,"")</x:f>
        <x:v>-0.07692307692307687</x:v>
      </x:c>
      <x:c r="F17" s="15" t="str">
        <x:v>PDF p25</x:v>
      </x:c>
    </x:row>
    <x:row r="18">
      <x:c r="A18" s="24" t="str">
        <x:v>除税前溢利</x:v>
      </x:c>
      <x:c r="B18" s="25" t="n">
        <x:v>921945</x:v>
      </x:c>
      <x:c r="C18" s="25" t="n">
        <x:v>1032849</x:v>
      </x:c>
      <x:c r="D18" s="25" t="n">
        <x:f>IF(OR(B18="",C18=""),"",B18-C18)</x:f>
        <x:v>-110904</x:v>
      </x:c>
      <x:c r="E18" s="26" t="n">
        <x:f>IFERROR(B18/C18-1,"")</x:f>
        <x:v>-0.10737678014888918</x:v>
      </x:c>
      <x:c r="F18" s="27" t="str">
        <x:v>PDF p25</x:v>
      </x:c>
    </x:row>
    <x:row r="19">
      <x:c r="A19" t="str">
        <x:v>所得税费用</x:v>
      </x:c>
      <x:c r="B19" s="12" t="n">
        <x:v>-220617</x:v>
      </x:c>
      <x:c r="C19" s="12" t="n">
        <x:v>-257220</x:v>
      </x:c>
      <x:c r="D19" s="12" t="n">
        <x:f>IF(OR(B19="",C19=""),"",B19-C19)</x:f>
        <x:v>36603</x:v>
      </x:c>
      <x:c r="E19" s="13" t="n">
        <x:f>IFERROR(B19/C19-1,"")</x:f>
        <x:v>-0.14230230930720789</x:v>
      </x:c>
      <x:c r="F19" s="15" t="str">
        <x:v>PDF p25</x:v>
      </x:c>
    </x:row>
    <x:row r="20">
      <x:c r="A20" s="24" t="str">
        <x:v>期内利润</x:v>
      </x:c>
      <x:c r="B20" s="25" t="n">
        <x:v>701328</x:v>
      </x:c>
      <x:c r="C20" s="25" t="n">
        <x:v>775629</x:v>
      </x:c>
      <x:c r="D20" s="25" t="n">
        <x:f>IF(OR(B20="",C20=""),"",B20-C20)</x:f>
        <x:v>-74301</x:v>
      </x:c>
      <x:c r="E20" s="26" t="n">
        <x:f>IFERROR(B20/C20-1,"")</x:f>
        <x:v>-0.09579451000413852</x:v>
      </x:c>
      <x:c r="F20" s="27" t="str">
        <x:v>PDF p25</x:v>
      </x:c>
    </x:row>
    <x:row r="21">
      <x:c r="A21" t="str">
        <x:v>本公司股东应占利润</x:v>
      </x:c>
      <x:c r="B21" s="12" t="n">
        <x:v>700583</x:v>
      </x:c>
      <x:c r="C21" s="12" t="n">
        <x:v>770187</x:v>
      </x:c>
      <x:c r="D21" s="12" t="n">
        <x:f>IF(OR(B21="",C21=""),"",B21-C21)</x:f>
        <x:v>-69604</x:v>
      </x:c>
      <x:c r="E21" s="13" t="n">
        <x:f>IFERROR(B21/C21-1,"")</x:f>
        <x:v>-0.09037285750084068</x:v>
      </x:c>
      <x:c r="F21" s="15" t="str">
        <x:v>PDF p25</x:v>
      </x:c>
    </x:row>
    <x:row r="22">
      <x:c r="A22" t="str">
        <x:v>非控股权益应占利润</x:v>
      </x:c>
      <x:c r="B22" s="12" t="n">
        <x:v>745</x:v>
      </x:c>
      <x:c r="C22" s="12" t="n">
        <x:v>5442</x:v>
      </x:c>
      <x:c r="D22" s="12" t="n">
        <x:f>IF(OR(B22="",C22=""),"",B22-C22)</x:f>
        <x:v>-4697</x:v>
      </x:c>
      <x:c r="E22" s="13" t="n">
        <x:f>IFERROR(B22/C22-1,"")</x:f>
        <x:v>-0.8631018008085263</x:v>
      </x:c>
      <x:c r="F22" s="15" t="str">
        <x:v>PDF p25</x:v>
      </x:c>
    </x:row>
    <x:row r="23">
      <x:c r="A23" s="24" t="str">
        <x:v>归属合计</x:v>
      </x:c>
      <x:c r="B23" s="25" t="n">
        <x:v>701328</x:v>
      </x:c>
      <x:c r="C23" s="25" t="n">
        <x:v>775629</x:v>
      </x:c>
      <x:c r="D23" s="25" t="n">
        <x:f>IF(OR(B23="",C23=""),"",B23-C23)</x:f>
        <x:v>-74301</x:v>
      </x:c>
      <x:c r="E23" s="26" t="n">
        <x:f>IFERROR(B23/C23-1,"")</x:f>
        <x:v>-0.09579451000413852</x:v>
      </x:c>
      <x:c r="F23" s="27" t="str">
        <x:v>PDF p25</x:v>
      </x:c>
    </x:row>
    <x:row r="24">
      <x:c r="A24" t="str">
        <x:v>每股基本及摊薄盈利（人民币分）</x:v>
      </x:c>
      <x:c r="B24" s="12" t="n">
        <x:v>21.33</x:v>
      </x:c>
      <x:c r="C24" s="12" t="n">
        <x:v>23.45</x:v>
      </x:c>
      <x:c r="D24" s="12" t="n">
        <x:f>IF(OR(B24="",C24=""),"",B24-C24)</x:f>
        <x:v>-2.120000000000001</x:v>
      </x:c>
      <x:c r="E24" s="13" t="n">
        <x:f>IFERROR(B24/C24-1,"")</x:f>
        <x:v>-0.09040511727078893</x:v>
      </x:c>
      <x:c r="F24" s="15" t="str">
        <x:v>PDF p25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17" hidden="0" customWidth="1"/>
    <x:col min="3" max="3" width="17" hidden="0" customWidth="1"/>
    <x:col min="4" max="4" width="17" hidden="0" customWidth="1"/>
    <x:col min="5" max="5" width="14" hidden="0" customWidth="1"/>
    <x:col min="6" max="6" width="14" hidden="0" customWidth="1"/>
  </x:cols>
  <x:sheetData>
    <x:row r="1" ht="30" customHeight="1">
      <x:c r="A1" s="3" t="str">
        <x:v>中期简明合并财务状况表</x:v>
      </x:c>
      <x:c r="B1" s="3" t="str">
        <x:v>中期简明合并财务状况表</x:v>
      </x:c>
      <x:c r="C1" s="3" t="str">
        <x:v>中期简明合并财务状况表</x:v>
      </x:c>
      <x:c r="D1" s="3" t="str">
        <x:v>中期简明合并财务状况表</x:v>
      </x:c>
      <x:c r="E1" s="3" t="str">
        <x:v>中期简明合并财务状况表</x:v>
      </x:c>
      <x:c r="F1" s="3" t="str">
        <x:v>中期简明合并财务状况表</x:v>
      </x:c>
    </x:row>
    <x:row r="2" ht="26" customHeight="1">
      <x:c r="A2" s="6" t="str">
        <x:v>2026年6月30日（未经审计）对2025年12月31日 | 人民币千元</x:v>
      </x:c>
      <x:c r="B2" s="6" t="str">
        <x:v>2026年6月30日（未经审计）对2025年12月31日 | 人民币千元</x:v>
      </x:c>
      <x:c r="C2" s="6" t="str">
        <x:v>2026年6月30日（未经审计）对2025年12月31日 | 人民币千元</x:v>
      </x:c>
      <x:c r="D2" s="6" t="str">
        <x:v>2026年6月30日（未经审计）对2025年12月31日 | 人民币千元</x:v>
      </x:c>
      <x:c r="E2" s="6" t="str">
        <x:v>2026年6月30日（未经审计）对2025年12月31日 | 人民币千元</x:v>
      </x:c>
      <x:c r="F2" s="6" t="str">
        <x:v>2026年6月30日（未经审计）对2025年12月31日 | 人民币千元</x:v>
      </x:c>
    </x:row>
    <x:row r="5" ht="28" customHeight="1">
      <x:c r="A5" s="11" t="str">
        <x:v>项目</x:v>
      </x:c>
      <x:c r="B5" s="11" t="str">
        <x:v>2026H1/期末</x:v>
      </x:c>
      <x:c r="C5" s="11" t="str">
        <x:v>2025H1/期初</x:v>
      </x:c>
      <x:c r="D5" s="11" t="str">
        <x:v>变动额</x:v>
      </x:c>
      <x:c r="E5" s="11" t="str">
        <x:v>变动率</x:v>
      </x:c>
      <x:c r="F5" s="11" t="str">
        <x:v>来源</x:v>
      </x:c>
    </x:row>
    <x:row r="7">
      <x:c r="A7" s="31" t="str">
        <x:v>非流动资产</x:v>
      </x:c>
      <x:c r="B7" s="32"/>
      <x:c r="C7" s="32"/>
      <x:c r="D7" s="32" t="str">
        <x:f>IF(OR(B7="",C7=""),"",B7-C7)</x:f>
      </x:c>
      <x:c r="E7" s="33" t="str">
        <x:f>IFERROR(B7/C7-1,"")</x:f>
      </x:c>
      <x:c r="F7" s="34" t="str"/>
    </x:row>
    <x:row r="8">
      <x:c r="A8" t="str">
        <x:v>物业、厂房及设备</x:v>
      </x:c>
      <x:c r="B8" s="12" t="n">
        <x:v>131745</x:v>
      </x:c>
      <x:c r="C8" s="12" t="n">
        <x:v>140488</x:v>
      </x:c>
      <x:c r="D8" s="12" t="n">
        <x:f>IF(OR(B8="",C8=""),"",B8-C8)</x:f>
        <x:v>-8743</x:v>
      </x:c>
      <x:c r="E8" s="13" t="n">
        <x:f>IFERROR(B8/C8-1,"")</x:f>
        <x:v>-0.062233073287398244</x:v>
      </x:c>
      <x:c r="F8" s="15" t="str">
        <x:v>PDF p27</x:v>
      </x:c>
    </x:row>
    <x:row r="9">
      <x:c r="A9" t="str">
        <x:v>投资物业</x:v>
      </x:c>
      <x:c r="B9" s="12" t="n">
        <x:v>150423</x:v>
      </x:c>
      <x:c r="C9" s="12" t="n">
        <x:v>136737</x:v>
      </x:c>
      <x:c r="D9" s="12" t="n">
        <x:f>IF(OR(B9="",C9=""),"",B9-C9)</x:f>
        <x:v>13686</x:v>
      </x:c>
      <x:c r="E9" s="13" t="n">
        <x:f>IFERROR(B9/C9-1,"")</x:f>
        <x:v>0.100089953706751</x:v>
      </x:c>
      <x:c r="F9" s="15" t="str">
        <x:v>PDF p27</x:v>
      </x:c>
    </x:row>
    <x:row r="10">
      <x:c r="A10" t="str">
        <x:v>使用权资产</x:v>
      </x:c>
      <x:c r="B10" s="12" t="n">
        <x:v>58138</x:v>
      </x:c>
      <x:c r="C10" s="12" t="n">
        <x:v>67682</x:v>
      </x:c>
      <x:c r="D10" s="12" t="n">
        <x:f>IF(OR(B10="",C10=""),"",B10-C10)</x:f>
        <x:v>-9544</x:v>
      </x:c>
      <x:c r="E10" s="13" t="n">
        <x:f>IFERROR(B10/C10-1,"")</x:f>
        <x:v>-0.14101238143080874</x:v>
      </x:c>
      <x:c r="F10" s="15" t="str">
        <x:v>PDF p27</x:v>
      </x:c>
    </x:row>
    <x:row r="11">
      <x:c r="A11" t="str">
        <x:v>无形资产</x:v>
      </x:c>
      <x:c r="B11" s="12" t="n">
        <x:v>286758</x:v>
      </x:c>
      <x:c r="C11" s="12" t="n">
        <x:v>287998</x:v>
      </x:c>
      <x:c r="D11" s="12" t="n">
        <x:f>IF(OR(B11="",C11=""),"",B11-C11)</x:f>
        <x:v>-1240</x:v>
      </x:c>
      <x:c r="E11" s="13" t="n">
        <x:f>IFERROR(B11/C11-1,"")</x:f>
        <x:v>-0.004305585455454564</x:v>
      </x:c>
      <x:c r="F11" s="15" t="str">
        <x:v>PDF p27</x:v>
      </x:c>
    </x:row>
    <x:row r="12">
      <x:c r="A12" t="str">
        <x:v>于合营企业的权益</x:v>
      </x:c>
      <x:c r="B12" s="12" t="n">
        <x:v>19510</x:v>
      </x:c>
      <x:c r="C12" s="12" t="n">
        <x:v>18291</x:v>
      </x:c>
      <x:c r="D12" s="12" t="n">
        <x:f>IF(OR(B12="",C12=""),"",B12-C12)</x:f>
        <x:v>1219</x:v>
      </x:c>
      <x:c r="E12" s="13" t="n">
        <x:f>IFERROR(B12/C12-1,"")</x:f>
        <x:v>0.06664479798808154</x:v>
      </x:c>
      <x:c r="F12" s="15" t="str">
        <x:v>PDF p27</x:v>
      </x:c>
    </x:row>
    <x:row r="13">
      <x:c r="A13" t="str">
        <x:v>于联营公司的权益</x:v>
      </x:c>
      <x:c r="B13" s="12" t="n">
        <x:v>179</x:v>
      </x:c>
      <x:c r="C13" s="12" t="n">
        <x:v>549</x:v>
      </x:c>
      <x:c r="D13" s="12" t="n">
        <x:f>IF(OR(B13="",C13=""),"",B13-C13)</x:f>
        <x:v>-370</x:v>
      </x:c>
      <x:c r="E13" s="13" t="n">
        <x:f>IFERROR(B13/C13-1,"")</x:f>
        <x:v>-0.6739526411657559</x:v>
      </x:c>
      <x:c r="F13" s="15" t="str">
        <x:v>PDF p27</x:v>
      </x:c>
    </x:row>
    <x:row r="14">
      <x:c r="A14" t="str">
        <x:v>按公平值计入损益的股权投资</x:v>
      </x:c>
      <x:c r="B14" s="12" t="n">
        <x:v>0</x:v>
      </x:c>
      <x:c r="C14" s="12" t="n">
        <x:v>3911</x:v>
      </x:c>
      <x:c r="D14" s="12" t="str">
        <x:f>IF(OR(B14="",C14=""),"",B14-C14)</x:f>
      </x:c>
      <x:c r="E14" s="13" t="n">
        <x:f>IFERROR(B14/C14-1,"")</x:f>
        <x:v>-1</x:v>
      </x:c>
      <x:c r="F14" s="15" t="str">
        <x:v>PDF p27</x:v>
      </x:c>
    </x:row>
    <x:row r="15">
      <x:c r="A15" t="str">
        <x:v>预付款项（非流动）</x:v>
      </x:c>
      <x:c r="B15" s="12" t="n">
        <x:v>7815</x:v>
      </x:c>
      <x:c r="C15" s="12" t="n">
        <x:v>11579</x:v>
      </x:c>
      <x:c r="D15" s="12" t="n">
        <x:f>IF(OR(B15="",C15=""),"",B15-C15)</x:f>
        <x:v>-3764</x:v>
      </x:c>
      <x:c r="E15" s="13" t="n">
        <x:f>IFERROR(B15/C15-1,"")</x:f>
        <x:v>-0.3250712496761379</x:v>
      </x:c>
      <x:c r="F15" s="15" t="str">
        <x:v>PDF p27</x:v>
      </x:c>
    </x:row>
    <x:row r="16">
      <x:c r="A16" t="str">
        <x:v>递延税项资产</x:v>
      </x:c>
      <x:c r="B16" s="12" t="n">
        <x:v>139200</x:v>
      </x:c>
      <x:c r="C16" s="12" t="n">
        <x:v>112717</x:v>
      </x:c>
      <x:c r="D16" s="12" t="n">
        <x:f>IF(OR(B16="",C16=""),"",B16-C16)</x:f>
        <x:v>26483</x:v>
      </x:c>
      <x:c r="E16" s="13" t="n">
        <x:f>IFERROR(B16/C16-1,"")</x:f>
        <x:v>0.2349512495896804</x:v>
      </x:c>
      <x:c r="F16" s="15" t="str">
        <x:v>PDF p27</x:v>
      </x:c>
    </x:row>
    <x:row r="17">
      <x:c r="A17" s="24" t="str">
        <x:v>非流动资产总额</x:v>
      </x:c>
      <x:c r="B17" s="25" t="n">
        <x:v>793768</x:v>
      </x:c>
      <x:c r="C17" s="25" t="n">
        <x:v>779952</x:v>
      </x:c>
      <x:c r="D17" s="25" t="n">
        <x:f>IF(OR(B17="",C17=""),"",B17-C17)</x:f>
        <x:v>13816</x:v>
      </x:c>
      <x:c r="E17" s="26" t="n">
        <x:f>IFERROR(B17/C17-1,"")</x:f>
        <x:v>0.01771391059962668</x:v>
      </x:c>
      <x:c r="F17" s="27" t="str">
        <x:v>PDF p27</x:v>
      </x:c>
    </x:row>
    <x:row r="18">
      <x:c r="A18" s="31" t="str">
        <x:v>流动资产</x:v>
      </x:c>
      <x:c r="B18" s="32"/>
      <x:c r="C18" s="32"/>
      <x:c r="D18" s="32" t="str">
        <x:f>IF(OR(B18="",C18=""),"",B18-C18)</x:f>
      </x:c>
      <x:c r="E18" s="33" t="str">
        <x:f>IFERROR(B18/C18-1,"")</x:f>
      </x:c>
      <x:c r="F18" s="34" t="str"/>
    </x:row>
    <x:row r="19">
      <x:c r="A19" t="str">
        <x:v>存货</x:v>
      </x:c>
      <x:c r="B19" s="12" t="n">
        <x:v>609936</x:v>
      </x:c>
      <x:c r="C19" s="12" t="n">
        <x:v>624895</x:v>
      </x:c>
      <x:c r="D19" s="12" t="n">
        <x:f>IF(OR(B19="",C19=""),"",B19-C19)</x:f>
        <x:v>-14959</x:v>
      </x:c>
      <x:c r="E19" s="13" t="n">
        <x:f>IFERROR(B19/C19-1,"")</x:f>
        <x:v>-0.02393842165483806</x:v>
      </x:c>
      <x:c r="F19" s="15" t="str">
        <x:v>PDF p27</x:v>
      </x:c>
    </x:row>
    <x:row r="20">
      <x:c r="A20" t="str">
        <x:v>贸易应收款</x:v>
      </x:c>
      <x:c r="B20" s="12" t="n">
        <x:v>3980423</x:v>
      </x:c>
      <x:c r="C20" s="12" t="n">
        <x:v>2876764</x:v>
      </x:c>
      <x:c r="D20" s="12" t="n">
        <x:f>IF(OR(B20="",C20=""),"",B20-C20)</x:f>
        <x:v>1103659</x:v>
      </x:c>
      <x:c r="E20" s="13" t="n">
        <x:f>IFERROR(B20/C20-1,"")</x:f>
        <x:v>0.3836459994632859</x:v>
      </x:c>
      <x:c r="F20" s="15" t="str">
        <x:v>PDF p27</x:v>
      </x:c>
    </x:row>
    <x:row r="21">
      <x:c r="A21" t="str">
        <x:v>合同资产</x:v>
      </x:c>
      <x:c r="B21" s="12" t="n">
        <x:v>496517</x:v>
      </x:c>
      <x:c r="C21" s="12" t="n">
        <x:v>477367</x:v>
      </x:c>
      <x:c r="D21" s="12" t="n">
        <x:f>IF(OR(B21="",C21=""),"",B21-C21)</x:f>
        <x:v>19150</x:v>
      </x:c>
      <x:c r="E21" s="13" t="n">
        <x:f>IFERROR(B21/C21-1,"")</x:f>
        <x:v>0.040115885681247354</x:v>
      </x:c>
      <x:c r="F21" s="15" t="str">
        <x:v>PDF p27</x:v>
      </x:c>
    </x:row>
    <x:row r="22">
      <x:c r="A22" t="str">
        <x:v>预付款项及其他应收款</x:v>
      </x:c>
      <x:c r="B22" s="12" t="n">
        <x:v>1165461</x:v>
      </x:c>
      <x:c r="C22" s="12" t="n">
        <x:v>1109003</x:v>
      </x:c>
      <x:c r="D22" s="12" t="n">
        <x:f>IF(OR(B22="",C22=""),"",B22-C22)</x:f>
        <x:v>56458</x:v>
      </x:c>
      <x:c r="E22" s="13" t="n">
        <x:f>IFERROR(B22/C22-1,"")</x:f>
        <x:v>0.050908789245836195</x:v>
      </x:c>
      <x:c r="F22" s="15" t="str">
        <x:v>PDF p27</x:v>
      </x:c>
    </x:row>
    <x:row r="23">
      <x:c r="A23" t="str">
        <x:v>应收直接控股公司款项</x:v>
      </x:c>
      <x:c r="B23" s="12" t="n">
        <x:v>197</x:v>
      </x:c>
      <x:c r="C23" s="12" t="n">
        <x:v>1459</x:v>
      </x:c>
      <x:c r="D23" s="12" t="n">
        <x:f>IF(OR(B23="",C23=""),"",B23-C23)</x:f>
        <x:v>-1262</x:v>
      </x:c>
      <x:c r="E23" s="13" t="n">
        <x:f>IFERROR(B23/C23-1,"")</x:f>
        <x:v>-0.8649760109664153</x:v>
      </x:c>
      <x:c r="F23" s="15" t="str">
        <x:v>PDF p27</x:v>
      </x:c>
    </x:row>
    <x:row r="24">
      <x:c r="A24" t="str">
        <x:v>应收同系附属公司款项</x:v>
      </x:c>
      <x:c r="B24" s="12" t="n">
        <x:v>379229</x:v>
      </x:c>
      <x:c r="C24" s="12" t="n">
        <x:v>631352</x:v>
      </x:c>
      <x:c r="D24" s="12" t="n">
        <x:f>IF(OR(B24="",C24=""),"",B24-C24)</x:f>
        <x:v>-252123</x:v>
      </x:c>
      <x:c r="E24" s="13" t="n">
        <x:f>IFERROR(B24/C24-1,"")</x:f>
        <x:v>-0.39933824554289843</x:v>
      </x:c>
      <x:c r="F24" s="15" t="str">
        <x:v>PDF p27</x:v>
      </x:c>
    </x:row>
    <x:row r="25">
      <x:c r="A25" t="str">
        <x:v>应收其他关联方款项</x:v>
      </x:c>
      <x:c r="B25" s="12" t="n">
        <x:v>168178</x:v>
      </x:c>
      <x:c r="C25" s="12" t="n">
        <x:v>174292</x:v>
      </x:c>
      <x:c r="D25" s="12" t="n">
        <x:f>IF(OR(B25="",C25=""),"",B25-C25)</x:f>
        <x:v>-6114</x:v>
      </x:c>
      <x:c r="E25" s="13" t="n">
        <x:f>IFERROR(B25/C25-1,"")</x:f>
        <x:v>-0.03507906272232808</x:v>
      </x:c>
      <x:c r="F25" s="15" t="str">
        <x:v>PDF p27</x:v>
      </x:c>
    </x:row>
    <x:row r="26">
      <x:c r="A26" t="str">
        <x:v>受限制银行存款</x:v>
      </x:c>
      <x:c r="B26" s="12" t="n">
        <x:v>270253</x:v>
      </x:c>
      <x:c r="C26" s="12" t="n">
        <x:v>12827</x:v>
      </x:c>
      <x:c r="D26" s="12" t="n">
        <x:f>IF(OR(B26="",C26=""),"",B26-C26)</x:f>
        <x:v>257426</x:v>
      </x:c>
      <x:c r="E26" s="13" t="n">
        <x:f>IFERROR(B26/C26-1,"")</x:f>
        <x:v>20.069073049037186</x:v>
      </x:c>
      <x:c r="F26" s="15" t="str">
        <x:v>PDF p27</x:v>
      </x:c>
    </x:row>
    <x:row r="27">
      <x:c r="A27" t="str">
        <x:v>银行结余及现金</x:v>
      </x:c>
      <x:c r="B27" s="12" t="n">
        <x:v>5733322</x:v>
      </x:c>
      <x:c r="C27" s="12" t="n">
        <x:v>6270725</x:v>
      </x:c>
      <x:c r="D27" s="12" t="n">
        <x:f>IF(OR(B27="",C27=""),"",B27-C27)</x:f>
        <x:v>-537403</x:v>
      </x:c>
      <x:c r="E27" s="13" t="n">
        <x:f>IFERROR(B27/C27-1,"")</x:f>
        <x:v>-0.08570029781245392</x:v>
      </x:c>
      <x:c r="F27" s="15" t="str">
        <x:v>PDF p27</x:v>
      </x:c>
    </x:row>
    <x:row r="28">
      <x:c r="A28" s="24" t="str">
        <x:v>流动资产总额</x:v>
      </x:c>
      <x:c r="B28" s="25" t="n">
        <x:v>12803516</x:v>
      </x:c>
      <x:c r="C28" s="25" t="n">
        <x:v>12178684</x:v>
      </x:c>
      <x:c r="D28" s="25" t="n">
        <x:f>IF(OR(B28="",C28=""),"",B28-C28)</x:f>
        <x:v>624832</x:v>
      </x:c>
      <x:c r="E28" s="26" t="n">
        <x:f>IFERROR(B28/C28-1,"")</x:f>
        <x:v>0.051305379136202145</x:v>
      </x:c>
      <x:c r="F28" s="27" t="str">
        <x:v>PDF p27</x:v>
      </x:c>
    </x:row>
    <x:row r="29">
      <x:c r="A29" s="24" t="str">
        <x:v>资产总额（计算）</x:v>
      </x:c>
      <x:c r="B29" s="25" t="n">
        <x:f>B17+B28</x:f>
        <x:v>13597284</x:v>
      </x:c>
      <x:c r="C29" s="25" t="n">
        <x:f>C17+C28</x:f>
        <x:v>12958636</x:v>
      </x:c>
      <x:c r="D29" s="25" t="n">
        <x:f>IF(OR(B29="",C29=""),"",B29-C29)</x:f>
        <x:v>638648</x:v>
      </x:c>
      <x:c r="E29" s="26" t="n">
        <x:f>IFERROR(B29/C29-1,"")</x:f>
        <x:v>0.04928358200662486</x:v>
      </x:c>
      <x:c r="F29" s="27" t="str">
        <x:v>计算</x:v>
      </x:c>
    </x:row>
    <x:row r="30">
      <x:c r="A30" s="31" t="str">
        <x:v>流动负债</x:v>
      </x:c>
      <x:c r="B30" s="32"/>
      <x:c r="C30" s="32"/>
      <x:c r="D30" s="32" t="str">
        <x:f>IF(OR(B30="",C30=""),"",B30-C30)</x:f>
      </x:c>
      <x:c r="E30" s="33" t="str">
        <x:f>IFERROR(B30/C30-1,"")</x:f>
      </x:c>
      <x:c r="F30" s="34" t="str"/>
    </x:row>
    <x:row r="31">
      <x:c r="A31" t="str">
        <x:v>贸易应付款</x:v>
      </x:c>
      <x:c r="B31" s="12" t="n">
        <x:v>2844040</x:v>
      </x:c>
      <x:c r="C31" s="12" t="n">
        <x:v>2631061</x:v>
      </x:c>
      <x:c r="D31" s="12" t="n">
        <x:f>IF(OR(B31="",C31=""),"",B31-C31)</x:f>
        <x:v>212979</x:v>
      </x:c>
      <x:c r="E31" s="13" t="n">
        <x:f>IFERROR(B31/C31-1,"")</x:f>
        <x:v>0.0809479521759473</x:v>
      </x:c>
      <x:c r="F31" s="15" t="str">
        <x:v>PDF p27</x:v>
      </x:c>
    </x:row>
    <x:row r="32">
      <x:c r="A32" t="str">
        <x:v>其他应付款及应计费用</x:v>
      </x:c>
      <x:c r="B32" s="12" t="n">
        <x:v>1102950</x:v>
      </x:c>
      <x:c r="C32" s="12" t="n">
        <x:v>775912</x:v>
      </x:c>
      <x:c r="D32" s="12" t="n">
        <x:f>IF(OR(B32="",C32=""),"",B32-C32)</x:f>
        <x:v>327038</x:v>
      </x:c>
      <x:c r="E32" s="13" t="n">
        <x:f>IFERROR(B32/C32-1,"")</x:f>
        <x:v>0.42148851931662357</x:v>
      </x:c>
      <x:c r="F32" s="15" t="str">
        <x:v>PDF p27</x:v>
      </x:c>
    </x:row>
    <x:row r="33">
      <x:c r="A33" t="str">
        <x:v>代客户收款</x:v>
      </x:c>
      <x:c r="B33" s="12" t="n">
        <x:v>1091530</x:v>
      </x:c>
      <x:c r="C33" s="12" t="n">
        <x:v>1152150</x:v>
      </x:c>
      <x:c r="D33" s="12" t="n">
        <x:f>IF(OR(B33="",C33=""),"",B33-C33)</x:f>
        <x:v>-60620</x:v>
      </x:c>
      <x:c r="E33" s="13" t="n">
        <x:f>IFERROR(B33/C33-1,"")</x:f>
        <x:v>-0.05261467690838861</x:v>
      </x:c>
      <x:c r="F33" s="15" t="str">
        <x:v>PDF p27</x:v>
      </x:c>
    </x:row>
    <x:row r="34">
      <x:c r="A34" t="str">
        <x:v>垫款及保证金</x:v>
      </x:c>
      <x:c r="B34" s="12" t="n">
        <x:v>1768131</x:v>
      </x:c>
      <x:c r="C34" s="12" t="n">
        <x:v>1960690</x:v>
      </x:c>
      <x:c r="D34" s="12" t="n">
        <x:f>IF(OR(B34="",C34=""),"",B34-C34)</x:f>
        <x:v>-192559</x:v>
      </x:c>
      <x:c r="E34" s="13" t="n">
        <x:f>IFERROR(B34/C34-1,"")</x:f>
        <x:v>-0.09820981389204819</x:v>
      </x:c>
      <x:c r="F34" s="15" t="str">
        <x:v>PDF p27</x:v>
      </x:c>
    </x:row>
    <x:row r="35">
      <x:c r="A35" t="str">
        <x:v>应付最终控股公司款项</x:v>
      </x:c>
      <x:c r="B35" s="12" t="n">
        <x:v>2120</x:v>
      </x:c>
      <x:c r="C35" s="12" t="n">
        <x:v>60</x:v>
      </x:c>
      <x:c r="D35" s="12" t="n">
        <x:f>IF(OR(B35="",C35=""),"",B35-C35)</x:f>
        <x:v>2060</x:v>
      </x:c>
      <x:c r="E35" s="13" t="n">
        <x:f>IFERROR(B35/C35-1,"")</x:f>
        <x:v>34.333333333333336</x:v>
      </x:c>
      <x:c r="F35" s="15" t="str">
        <x:v>PDF p27</x:v>
      </x:c>
    </x:row>
    <x:row r="36">
      <x:c r="A36" t="str">
        <x:v>应付同系附属公司款项</x:v>
      </x:c>
      <x:c r="B36" s="12" t="n">
        <x:v>83909</x:v>
      </x:c>
      <x:c r="C36" s="12" t="n">
        <x:v>55400</x:v>
      </x:c>
      <x:c r="D36" s="12" t="n">
        <x:f>IF(OR(B36="",C36=""),"",B36-C36)</x:f>
        <x:v>28509</x:v>
      </x:c>
      <x:c r="E36" s="13" t="n">
        <x:f>IFERROR(B36/C36-1,"")</x:f>
        <x:v>0.5146028880866427</x:v>
      </x:c>
      <x:c r="F36" s="15" t="str">
        <x:v>PDF p27</x:v>
      </x:c>
    </x:row>
    <x:row r="37">
      <x:c r="A37" t="str">
        <x:v>应付其他关联方款项</x:v>
      </x:c>
      <x:c r="B37" s="12" t="n">
        <x:v>19205</x:v>
      </x:c>
      <x:c r="C37" s="12" t="n">
        <x:v>21763</x:v>
      </x:c>
      <x:c r="D37" s="12" t="n">
        <x:f>IF(OR(B37="",C37=""),"",B37-C37)</x:f>
        <x:v>-2558</x:v>
      </x:c>
      <x:c r="E37" s="13" t="n">
        <x:f>IFERROR(B37/C37-1,"")</x:f>
        <x:v>-0.11753894224141892</x:v>
      </x:c>
      <x:c r="F37" s="15" t="str">
        <x:v>PDF p27</x:v>
      </x:c>
    </x:row>
    <x:row r="38">
      <x:c r="A38" t="str">
        <x:v>应付税项</x:v>
      </x:c>
      <x:c r="B38" s="12" t="n">
        <x:v>266032</x:v>
      </x:c>
      <x:c r="C38" s="12" t="n">
        <x:v>275021</x:v>
      </x:c>
      <x:c r="D38" s="12" t="n">
        <x:f>IF(OR(B38="",C38=""),"",B38-C38)</x:f>
        <x:v>-8989</x:v>
      </x:c>
      <x:c r="E38" s="13" t="n">
        <x:f>IFERROR(B38/C38-1,"")</x:f>
        <x:v>-0.032684776798862614</x:v>
      </x:c>
      <x:c r="F38" s="15" t="str">
        <x:v>PDF p27</x:v>
      </x:c>
    </x:row>
    <x:row r="39">
      <x:c r="A39" t="str">
        <x:v>银行借贷</x:v>
      </x:c>
      <x:c r="B39" s="12" t="n">
        <x:v>0</x:v>
      </x:c>
      <x:c r="C39" s="12" t="n">
        <x:v>50000</x:v>
      </x:c>
      <x:c r="D39" s="12" t="str">
        <x:f>IF(OR(B39="",C39=""),"",B39-C39)</x:f>
      </x:c>
      <x:c r="E39" s="13" t="n">
        <x:f>IFERROR(B39/C39-1,"")</x:f>
        <x:v>-1</x:v>
      </x:c>
      <x:c r="F39" s="15" t="str">
        <x:v>PDF p27</x:v>
      </x:c>
    </x:row>
    <x:row r="40">
      <x:c r="A40" t="str">
        <x:v>租赁负债（流动）</x:v>
      </x:c>
      <x:c r="B40" s="12" t="n">
        <x:v>50411</x:v>
      </x:c>
      <x:c r="C40" s="12" t="n">
        <x:v>54069</x:v>
      </x:c>
      <x:c r="D40" s="12" t="n">
        <x:f>IF(OR(B40="",C40=""),"",B40-C40)</x:f>
        <x:v>-3658</x:v>
      </x:c>
      <x:c r="E40" s="13" t="n">
        <x:f>IFERROR(B40/C40-1,"")</x:f>
        <x:v>-0.06765429358782293</x:v>
      </x:c>
      <x:c r="F40" s="15" t="str">
        <x:v>PDF p27</x:v>
      </x:c>
    </x:row>
    <x:row r="41">
      <x:c r="A41" s="24" t="str">
        <x:v>流动负债总额</x:v>
      </x:c>
      <x:c r="B41" s="25" t="n">
        <x:v>7228328</x:v>
      </x:c>
      <x:c r="C41" s="25" t="n">
        <x:v>6976126</x:v>
      </x:c>
      <x:c r="D41" s="25" t="n">
        <x:f>IF(OR(B41="",C41=""),"",B41-C41)</x:f>
        <x:v>252202</x:v>
      </x:c>
      <x:c r="E41" s="26" t="n">
        <x:f>IFERROR(B41/C41-1,"")</x:f>
        <x:v>0.03615215665542748</x:v>
      </x:c>
      <x:c r="F41" s="27" t="str">
        <x:v>PDF p27</x:v>
      </x:c>
    </x:row>
    <x:row r="42">
      <x:c r="A42" s="24" t="str">
        <x:v>流动资产净额</x:v>
      </x:c>
      <x:c r="B42" s="25" t="n">
        <x:v>5575188</x:v>
      </x:c>
      <x:c r="C42" s="25" t="n">
        <x:v>5202558</x:v>
      </x:c>
      <x:c r="D42" s="25" t="n">
        <x:f>IF(OR(B42="",C42=""),"",B42-C42)</x:f>
        <x:v>372630</x:v>
      </x:c>
      <x:c r="E42" s="26" t="n">
        <x:f>IFERROR(B42/C42-1,"")</x:f>
        <x:v>0.0716243816983877</x:v>
      </x:c>
      <x:c r="F42" s="27" t="str">
        <x:v>PDF p28</x:v>
      </x:c>
    </x:row>
    <x:row r="43">
      <x:c r="A43" s="24" t="str">
        <x:v>资产总额减流动负债</x:v>
      </x:c>
      <x:c r="B43" s="25" t="n">
        <x:v>6368956</x:v>
      </x:c>
      <x:c r="C43" s="25" t="n">
        <x:v>5982510</x:v>
      </x:c>
      <x:c r="D43" s="25" t="n">
        <x:f>IF(OR(B43="",C43=""),"",B43-C43)</x:f>
        <x:v>386446</x:v>
      </x:c>
      <x:c r="E43" s="26" t="n">
        <x:f>IFERROR(B43/C43-1,"")</x:f>
        <x:v>0.06459596390143929</x:v>
      </x:c>
      <x:c r="F43" s="27" t="str">
        <x:v>PDF p28</x:v>
      </x:c>
    </x:row>
    <x:row r="44">
      <x:c r="A44" s="31" t="str">
        <x:v>非流动负债</x:v>
      </x:c>
      <x:c r="B44" s="32"/>
      <x:c r="C44" s="32"/>
      <x:c r="D44" s="32" t="str">
        <x:f>IF(OR(B44="",C44=""),"",B44-C44)</x:f>
      </x:c>
      <x:c r="E44" s="33" t="str">
        <x:f>IFERROR(B44/C44-1,"")</x:f>
      </x:c>
      <x:c r="F44" s="34" t="str"/>
    </x:row>
    <x:row r="45">
      <x:c r="A45" t="str">
        <x:v>租赁负债（非流动）</x:v>
      </x:c>
      <x:c r="B45" s="12" t="n">
        <x:v>45702</x:v>
      </x:c>
      <x:c r="C45" s="12" t="n">
        <x:v>41867</x:v>
      </x:c>
      <x:c r="D45" s="12" t="n">
        <x:f>IF(OR(B45="",C45=""),"",B45-C45)</x:f>
        <x:v>3835</x:v>
      </x:c>
      <x:c r="E45" s="13" t="n">
        <x:f>IFERROR(B45/C45-1,"")</x:f>
        <x:v>0.09159958917524547</x:v>
      </x:c>
      <x:c r="F45" s="15" t="str">
        <x:v>PDF p28</x:v>
      </x:c>
    </x:row>
    <x:row r="46">
      <x:c r="A46" t="str">
        <x:v>递延税项负债</x:v>
      </x:c>
      <x:c r="B46" s="12" t="n">
        <x:v>11339</x:v>
      </x:c>
      <x:c r="C46" s="12" t="n">
        <x:v>10302</x:v>
      </x:c>
      <x:c r="D46" s="12" t="n">
        <x:f>IF(OR(B46="",C46=""),"",B46-C46)</x:f>
        <x:v>1037</x:v>
      </x:c>
      <x:c r="E46" s="13" t="n">
        <x:f>IFERROR(B46/C46-1,"")</x:f>
        <x:v>0.1006600660066006</x:v>
      </x:c>
      <x:c r="F46" s="15" t="str">
        <x:v>PDF p28</x:v>
      </x:c>
    </x:row>
    <x:row r="47">
      <x:c r="A47" s="24" t="str">
        <x:v>非流动负债总额</x:v>
      </x:c>
      <x:c r="B47" s="25" t="n">
        <x:v>57041</x:v>
      </x:c>
      <x:c r="C47" s="25" t="n">
        <x:v>52169</x:v>
      </x:c>
      <x:c r="D47" s="25" t="n">
        <x:f>IF(OR(B47="",C47=""),"",B47-C47)</x:f>
        <x:v>4872</x:v>
      </x:c>
      <x:c r="E47" s="26" t="n">
        <x:f>IFERROR(B47/C47-1,"")</x:f>
        <x:v>0.09338879411144552</x:v>
      </x:c>
      <x:c r="F47" s="27" t="str">
        <x:v>PDF p28</x:v>
      </x:c>
    </x:row>
    <x:row r="48">
      <x:c r="A48" s="24" t="str">
        <x:v>资产净额</x:v>
      </x:c>
      <x:c r="B48" s="25" t="n">
        <x:v>6311915</x:v>
      </x:c>
      <x:c r="C48" s="25" t="n">
        <x:v>5930341</x:v>
      </x:c>
      <x:c r="D48" s="25" t="n">
        <x:f>IF(OR(B48="",C48=""),"",B48-C48)</x:f>
        <x:v>381574</x:v>
      </x:c>
      <x:c r="E48" s="26" t="n">
        <x:f>IFERROR(B48/C48-1,"")</x:f>
        <x:v>0.06434267439258545</x:v>
      </x:c>
      <x:c r="F48" s="27" t="str">
        <x:v>PDF p28</x:v>
      </x:c>
    </x:row>
    <x:row r="49">
      <x:c r="A49" s="31" t="str">
        <x:v>权益</x:v>
      </x:c>
      <x:c r="B49" s="32"/>
      <x:c r="C49" s="32"/>
      <x:c r="D49" s="32" t="str">
        <x:f>IF(OR(B49="",C49=""),"",B49-C49)</x:f>
      </x:c>
      <x:c r="E49" s="33" t="str">
        <x:f>IFERROR(B49/C49-1,"")</x:f>
      </x:c>
      <x:c r="F49" s="34" t="str"/>
    </x:row>
    <x:row r="50">
      <x:c r="A50" t="str">
        <x:v>股本</x:v>
      </x:c>
      <x:c r="B50" s="12" t="n">
        <x:v>2677</x:v>
      </x:c>
      <x:c r="C50" s="12" t="n">
        <x:v>2677</x:v>
      </x:c>
      <x:c r="D50" s="12" t="n">
        <x:f>IF(OR(B50="",C50=""),"",B50-C50)</x:f>
        <x:v>0</x:v>
      </x:c>
      <x:c r="E50" s="13" t="n">
        <x:f>IFERROR(B50/C50-1,"")</x:f>
        <x:v>0</x:v>
      </x:c>
      <x:c r="F50" s="15" t="str">
        <x:v>PDF p28</x:v>
      </x:c>
    </x:row>
    <x:row r="51">
      <x:c r="A51" t="str">
        <x:v>储备</x:v>
      </x:c>
      <x:c r="B51" s="12" t="n">
        <x:v>6233042</x:v>
      </x:c>
      <x:c r="C51" s="12" t="n">
        <x:v>5851796</x:v>
      </x:c>
      <x:c r="D51" s="12" t="n">
        <x:f>IF(OR(B51="",C51=""),"",B51-C51)</x:f>
        <x:v>381246</x:v>
      </x:c>
      <x:c r="E51" s="13" t="n">
        <x:f>IFERROR(B51/C51-1,"")</x:f>
        <x:v>0.06515025472521607</x:v>
      </x:c>
      <x:c r="F51" s="15" t="str">
        <x:v>PDF p28</x:v>
      </x:c>
    </x:row>
    <x:row r="52">
      <x:c r="A52" s="24" t="str">
        <x:v>本公司股东应占权益</x:v>
      </x:c>
      <x:c r="B52" s="25" t="n">
        <x:v>6235719</x:v>
      </x:c>
      <x:c r="C52" s="25" t="n">
        <x:v>5854473</x:v>
      </x:c>
      <x:c r="D52" s="25" t="n">
        <x:f>IF(OR(B52="",C52=""),"",B52-C52)</x:f>
        <x:v>381246</x:v>
      </x:c>
      <x:c r="E52" s="26" t="n">
        <x:f>IFERROR(B52/C52-1,"")</x:f>
        <x:v>0.06512046430139828</x:v>
      </x:c>
      <x:c r="F52" s="27" t="str">
        <x:v>PDF p28</x:v>
      </x:c>
    </x:row>
    <x:row r="53">
      <x:c r="A53" t="str">
        <x:v>非控股权益</x:v>
      </x:c>
      <x:c r="B53" s="12" t="n">
        <x:v>76196</x:v>
      </x:c>
      <x:c r="C53" s="12" t="n">
        <x:v>75868</x:v>
      </x:c>
      <x:c r="D53" s="12" t="n">
        <x:f>IF(OR(B53="",C53=""),"",B53-C53)</x:f>
        <x:v>328</x:v>
      </x:c>
      <x:c r="E53" s="13" t="n">
        <x:f>IFERROR(B53/C53-1,"")</x:f>
        <x:v>0.0043232983603100905</x:v>
      </x:c>
      <x:c r="F53" s="15" t="str">
        <x:v>PDF p28</x:v>
      </x:c>
    </x:row>
    <x:row r="54">
      <x:c r="A54" s="24" t="str">
        <x:v>权益总额</x:v>
      </x:c>
      <x:c r="B54" s="25" t="n">
        <x:v>6311915</x:v>
      </x:c>
      <x:c r="C54" s="25" t="n">
        <x:v>5930341</x:v>
      </x:c>
      <x:c r="D54" s="25" t="n">
        <x:f>IF(OR(B54="",C54=""),"",B54-C54)</x:f>
        <x:v>381574</x:v>
      </x:c>
      <x:c r="E54" s="26" t="n">
        <x:f>IFERROR(B54/C54-1,"")</x:f>
        <x:v>0.06434267439258545</x:v>
      </x:c>
      <x:c r="F54" s="27" t="str">
        <x:v>PDF p28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17" hidden="0" customWidth="1"/>
    <x:col min="3" max="3" width="17" hidden="0" customWidth="1"/>
    <x:col min="4" max="4" width="17" hidden="0" customWidth="1"/>
    <x:col min="5" max="5" width="14" hidden="0" customWidth="1"/>
    <x:col min="6" max="6" width="14" hidden="0" customWidth="1"/>
  </x:cols>
  <x:sheetData>
    <x:row r="1" ht="30" customHeight="1">
      <x:c r="A1" s="3" t="str">
        <x:v>中期简明合并全面收益表</x:v>
      </x:c>
      <x:c r="B1" s="3" t="str">
        <x:v>中期简明合并全面收益表</x:v>
      </x:c>
      <x:c r="C1" s="3" t="str">
        <x:v>中期简明合并全面收益表</x:v>
      </x:c>
      <x:c r="D1" s="3" t="str">
        <x:v>中期简明合并全面收益表</x:v>
      </x:c>
      <x:c r="E1" s="3" t="str">
        <x:v>中期简明合并全面收益表</x:v>
      </x:c>
      <x:c r="F1" s="3" t="str">
        <x:v>中期简明合并全面收益表</x:v>
      </x:c>
    </x:row>
    <x:row r="2" ht="26" customHeight="1">
      <x:c r="A2" s="6" t="str">
        <x:v>截至2026年6月30日止六个月 | 2025H1比较数已重列 | 人民币千元</x:v>
      </x:c>
      <x:c r="B2" s="6" t="str">
        <x:v>截至2026年6月30日止六个月 | 2025H1比较数已重列 | 人民币千元</x:v>
      </x:c>
      <x:c r="C2" s="6" t="str">
        <x:v>截至2026年6月30日止六个月 | 2025H1比较数已重列 | 人民币千元</x:v>
      </x:c>
      <x:c r="D2" s="6" t="str">
        <x:v>截至2026年6月30日止六个月 | 2025H1比较数已重列 | 人民币千元</x:v>
      </x:c>
      <x:c r="E2" s="6" t="str">
        <x:v>截至2026年6月30日止六个月 | 2025H1比较数已重列 | 人民币千元</x:v>
      </x:c>
      <x:c r="F2" s="6" t="str">
        <x:v>截至2026年6月30日止六个月 | 2025H1比较数已重列 | 人民币千元</x:v>
      </x:c>
    </x:row>
    <x:row r="5" ht="28" customHeight="1">
      <x:c r="A5" s="11" t="str">
        <x:v>项目</x:v>
      </x:c>
      <x:c r="B5" s="11" t="str">
        <x:v>2026H1/期末</x:v>
      </x:c>
      <x:c r="C5" s="11" t="str">
        <x:v>2025H1/期初</x:v>
      </x:c>
      <x:c r="D5" s="11" t="str">
        <x:v>变动额</x:v>
      </x:c>
      <x:c r="E5" s="11" t="str">
        <x:v>变动率</x:v>
      </x:c>
      <x:c r="F5" s="11" t="str">
        <x:v>来源</x:v>
      </x:c>
    </x:row>
    <x:row r="7">
      <x:c r="A7" t="str">
        <x:v>期内利润</x:v>
      </x:c>
      <x:c r="B7" s="12" t="n">
        <x:v>701328</x:v>
      </x:c>
      <x:c r="C7" s="12" t="n">
        <x:v>775629</x:v>
      </x:c>
      <x:c r="D7" s="12" t="n">
        <x:f>IF(OR(B7="",C7=""),"",B7-C7)</x:f>
        <x:v>-74301</x:v>
      </x:c>
      <x:c r="E7" s="13" t="n">
        <x:f>IFERROR(B7/C7-1,"")</x:f>
        <x:v>-0.09579451000413852</x:v>
      </x:c>
      <x:c r="F7" s="15" t="str">
        <x:v>PDF p26</x:v>
      </x:c>
    </x:row>
    <x:row r="8">
      <x:c r="A8" t="str">
        <x:v>换算海外附属公司的汇兑差额</x:v>
      </x:c>
      <x:c r="B8" s="12" t="n">
        <x:v>-14927</x:v>
      </x:c>
      <x:c r="C8" s="12" t="n">
        <x:v>-7938</x:v>
      </x:c>
      <x:c r="D8" s="12" t="n">
        <x:f>IF(OR(B8="",C8=""),"",B8-C8)</x:f>
        <x:v>-6989</x:v>
      </x:c>
      <x:c r="E8" s="13" t="n">
        <x:f>IFERROR(B8/C8-1,"")</x:f>
        <x:v>0.8804484756865709</x:v>
      </x:c>
      <x:c r="F8" s="15" t="str">
        <x:v>PDF p26</x:v>
      </x:c>
    </x:row>
    <x:row r="9">
      <x:c r="A9" t="str">
        <x:v>换算联营公司的汇兑差额</x:v>
      </x:c>
      <x:c r="B9" s="12" t="n">
        <x:v>-15</x:v>
      </x:c>
      <x:c r="C9" s="12" t="n">
        <x:v>-10</x:v>
      </x:c>
      <x:c r="D9" s="12" t="n">
        <x:f>IF(OR(B9="",C9=""),"",B9-C9)</x:f>
        <x:v>-5</x:v>
      </x:c>
      <x:c r="E9" s="13" t="n">
        <x:f>IFERROR(B9/C9-1,"")</x:f>
        <x:v>0.5</x:v>
      </x:c>
      <x:c r="F9" s="15" t="str">
        <x:v>PDF p26</x:v>
      </x:c>
    </x:row>
    <x:row r="10">
      <x:c r="A10" s="24" t="str">
        <x:v>其后可能重分类至损益的小计</x:v>
      </x:c>
      <x:c r="B10" s="25" t="n">
        <x:v>-14942</x:v>
      </x:c>
      <x:c r="C10" s="25" t="n">
        <x:v>-7948</x:v>
      </x:c>
      <x:c r="D10" s="25" t="n">
        <x:f>IF(OR(B10="",C10=""),"",B10-C10)</x:f>
        <x:v>-6994</x:v>
      </x:c>
      <x:c r="E10" s="26" t="n">
        <x:f>IFERROR(B10/C10-1,"")</x:f>
        <x:v>0.8799698037242074</x:v>
      </x:c>
      <x:c r="F10" s="27" t="str">
        <x:v>PDF p26</x:v>
      </x:c>
    </x:row>
    <x:row r="11">
      <x:c r="A11" t="str">
        <x:v>换算本公司财务报表的汇兑差额</x:v>
      </x:c>
      <x:c r="B11" s="12" t="n">
        <x:v>-21121</x:v>
      </x:c>
      <x:c r="C11" s="12" t="n">
        <x:v>3522</x:v>
      </x:c>
      <x:c r="D11" s="12" t="n">
        <x:f>IF(OR(B11="",C11=""),"",B11-C11)</x:f>
        <x:v>-24643</x:v>
      </x:c>
      <x:c r="E11" s="13" t="n">
        <x:f>IFERROR(B11/C11-1,"")</x:f>
        <x:v>-6.996876774559909</x:v>
      </x:c>
      <x:c r="F11" s="15" t="str">
        <x:v>PDF p26</x:v>
      </x:c>
    </x:row>
    <x:row r="12">
      <x:c r="A12" s="24" t="str">
        <x:v>期内其他全面亏损（税后）</x:v>
      </x:c>
      <x:c r="B12" s="25" t="n">
        <x:v>-36063</x:v>
      </x:c>
      <x:c r="C12" s="25" t="n">
        <x:v>-4426</x:v>
      </x:c>
      <x:c r="D12" s="25" t="n">
        <x:f>IF(OR(B12="",C12=""),"",B12-C12)</x:f>
        <x:v>-31637</x:v>
      </x:c>
      <x:c r="E12" s="26" t="n">
        <x:f>IFERROR(B12/C12-1,"")</x:f>
        <x:v>7.147989154993223</x:v>
      </x:c>
      <x:c r="F12" s="27" t="str">
        <x:v>PDF p26</x:v>
      </x:c>
    </x:row>
    <x:row r="13">
      <x:c r="A13" s="24" t="str">
        <x:v>期内全面收益总额</x:v>
      </x:c>
      <x:c r="B13" s="25" t="n">
        <x:v>665265</x:v>
      </x:c>
      <x:c r="C13" s="25" t="n">
        <x:v>771203</x:v>
      </x:c>
      <x:c r="D13" s="25" t="n">
        <x:f>IF(OR(B13="",C13=""),"",B13-C13)</x:f>
        <x:v>-105938</x:v>
      </x:c>
      <x:c r="E13" s="26" t="n">
        <x:f>IFERROR(B13/C13-1,"")</x:f>
        <x:v>-0.1373672042250873</x:v>
      </x:c>
      <x:c r="F13" s="27" t="str">
        <x:v>PDF p26</x:v>
      </x:c>
    </x:row>
    <x:row r="14">
      <x:c r="A14" t="str">
        <x:v>本公司股东应占</x:v>
      </x:c>
      <x:c r="B14" s="12" t="n">
        <x:v>664520</x:v>
      </x:c>
      <x:c r="C14" s="12" t="n">
        <x:v>765761</x:v>
      </x:c>
      <x:c r="D14" s="12" t="n">
        <x:f>IF(OR(B14="",C14=""),"",B14-C14)</x:f>
        <x:v>-101241</x:v>
      </x:c>
      <x:c r="E14" s="13" t="n">
        <x:f>IFERROR(B14/C14-1,"")</x:f>
        <x:v>-0.13220965810481333</x:v>
      </x:c>
      <x:c r="F14" s="15" t="str">
        <x:v>PDF p26</x:v>
      </x:c>
    </x:row>
    <x:row r="15">
      <x:c r="A15" t="str">
        <x:v>非控股权益应占</x:v>
      </x:c>
      <x:c r="B15" s="12" t="n">
        <x:v>745</x:v>
      </x:c>
      <x:c r="C15" s="12" t="n">
        <x:v>5442</x:v>
      </x:c>
      <x:c r="D15" s="12" t="n">
        <x:f>IF(OR(B15="",C15=""),"",B15-C15)</x:f>
        <x:v>-4697</x:v>
      </x:c>
      <x:c r="E15" s="13" t="n">
        <x:f>IFERROR(B15/C15-1,"")</x:f>
        <x:v>-0.8631018008085263</x:v>
      </x:c>
      <x:c r="F15" s="15" t="str">
        <x:v>PDF p26</x:v>
      </x:c>
    </x:row>
    <x:row r="16">
      <x:c r="A16" s="24" t="str">
        <x:v>归属合计</x:v>
      </x:c>
      <x:c r="B16" s="25" t="n">
        <x:v>665265</x:v>
      </x:c>
      <x:c r="C16" s="25" t="n">
        <x:v>771203</x:v>
      </x:c>
      <x:c r="D16" s="25" t="n">
        <x:f>IF(OR(B16="",C16=""),"",B16-C16)</x:f>
        <x:v>-105938</x:v>
      </x:c>
      <x:c r="E16" s="26" t="n">
        <x:f>IFERROR(B16/C16-1,"")</x:f>
        <x:v>-0.1373672042250873</x:v>
      </x:c>
      <x:c r="F16" s="27" t="str">
        <x:v>PDF p26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6" hidden="0" customWidth="1"/>
    <x:col min="3" max="3" width="16" hidden="0" customWidth="1"/>
    <x:col min="4" max="4" width="14" hidden="0" customWidth="1"/>
    <x:col min="5" max="5" width="16" hidden="0" customWidth="1"/>
    <x:col min="6" max="6" width="15" hidden="0" customWidth="1"/>
    <x:col min="7" max="7" width="15" hidden="0" customWidth="1"/>
    <x:col min="8" max="8" width="15" hidden="0" customWidth="1"/>
    <x:col min="9" max="9" width="14" hidden="0" customWidth="1"/>
    <x:col min="10" max="10" width="32" hidden="0" customWidth="1"/>
  </x:cols>
  <x:sheetData>
    <x:row r="1" ht="30" customHeight="1">
      <x:c r="A1" s="3" t="str">
        <x:v>收入、业务分部与毛利拆分</x:v>
      </x:c>
      <x:c r="B1" s="3" t="str">
        <x:v>收入、业务分部与毛利拆分</x:v>
      </x:c>
      <x:c r="C1" s="3" t="str">
        <x:v>收入、业务分部与毛利拆分</x:v>
      </x:c>
      <x:c r="D1" s="3" t="str">
        <x:v>收入、业务分部与毛利拆分</x:v>
      </x:c>
      <x:c r="E1" s="3" t="str">
        <x:v>收入、业务分部与毛利拆分</x:v>
      </x:c>
      <x:c r="F1" s="3" t="str">
        <x:v>收入、业务分部与毛利拆分</x:v>
      </x:c>
      <x:c r="G1" s="3" t="str">
        <x:v>收入、业务分部与毛利拆分</x:v>
      </x:c>
      <x:c r="H1" s="3" t="str">
        <x:v>收入、业务分部与毛利拆分</x:v>
      </x:c>
      <x:c r="I1" s="3" t="str">
        <x:v>收入、业务分部与毛利拆分</x:v>
      </x:c>
      <x:c r="J1" s="3" t="str">
        <x:v>收入、业务分部与毛利拆分</x:v>
      </x:c>
    </x:row>
    <x:row r="2" ht="26" customHeight="1">
      <x:c r="A2" s="6" t="str">
        <x:v>截至2026年6月30日止六个月 | 2025H1比较数已重列 | 分部业绩并非会计毛利</x:v>
      </x:c>
      <x:c r="B2" s="6" t="str">
        <x:v>截至2026年6月30日止六个月 | 2025H1比较数已重列 | 分部业绩并非会计毛利</x:v>
      </x:c>
      <x:c r="C2" s="6" t="str">
        <x:v>截至2026年6月30日止六个月 | 2025H1比较数已重列 | 分部业绩并非会计毛利</x:v>
      </x:c>
      <x:c r="D2" s="6" t="str">
        <x:v>截至2026年6月30日止六个月 | 2025H1比较数已重列 | 分部业绩并非会计毛利</x:v>
      </x:c>
      <x:c r="E2" s="6" t="str">
        <x:v>截至2026年6月30日止六个月 | 2025H1比较数已重列 | 分部业绩并非会计毛利</x:v>
      </x:c>
      <x:c r="F2" s="6" t="str">
        <x:v>截至2026年6月30日止六个月 | 2025H1比较数已重列 | 分部业绩并非会计毛利</x:v>
      </x:c>
      <x:c r="G2" s="6" t="str">
        <x:v>截至2026年6月30日止六个月 | 2025H1比较数已重列 | 分部业绩并非会计毛利</x:v>
      </x:c>
      <x:c r="H2" s="6" t="str">
        <x:v>截至2026年6月30日止六个月 | 2025H1比较数已重列 | 分部业绩并非会计毛利</x:v>
      </x:c>
      <x:c r="I2" s="6" t="str">
        <x:v>截至2026年6月30日止六个月 | 2025H1比较数已重列 | 分部业绩并非会计毛利</x:v>
      </x:c>
      <x:c r="J2" s="6" t="str">
        <x:v>截至2026年6月30日止六个月 | 2025H1比较数已重列 | 分部业绩并非会计毛利</x:v>
      </x:c>
    </x:row>
    <x:row r="4" ht="22" customHeight="1">
      <x:c r="A4" s="36" t="str">
        <x:v>业务分部（分部业绩为管理层考核口径，人民币千元）</x:v>
      </x:c>
      <x:c r="B4" s="36" t="str">
        <x:v>业务分部（分部业绩为管理层考核口径，人民币千元）</x:v>
      </x:c>
      <x:c r="C4" s="36" t="str">
        <x:v>业务分部（分部业绩为管理层考核口径，人民币千元）</x:v>
      </x:c>
      <x:c r="D4" s="36" t="str">
        <x:v>业务分部（分部业绩为管理层考核口径，人民币千元）</x:v>
      </x:c>
      <x:c r="E4" s="36" t="str">
        <x:v>业务分部（分部业绩为管理层考核口径，人民币千元）</x:v>
      </x:c>
      <x:c r="F4" s="36" t="str">
        <x:v>业务分部（分部业绩为管理层考核口径，人民币千元）</x:v>
      </x:c>
      <x:c r="G4" s="36" t="str">
        <x:v>业务分部（分部业绩为管理层考核口径，人民币千元）</x:v>
      </x:c>
      <x:c r="H4" s="36" t="str">
        <x:v>业务分部（分部业绩为管理层考核口径，人民币千元）</x:v>
      </x:c>
      <x:c r="I4" s="36" t="str">
        <x:v>业务分部（分部业绩为管理层考核口径，人民币千元）</x:v>
      </x:c>
      <x:c r="J4" s="36" t="str">
        <x:v>业务分部（分部业绩为管理层考核口径，人民币千元）</x:v>
      </x:c>
    </x:row>
    <x:row r="5" ht="28" customHeight="1">
      <x:c r="A5" s="11" t="str">
        <x:v>业务板块</x:v>
      </x:c>
      <x:c r="B5" s="11" t="str">
        <x:v>2026对外收入</x:v>
      </x:c>
      <x:c r="C5" s="11" t="str">
        <x:v>2025对外收入</x:v>
      </x:c>
      <x:c r="D5" s="11" t="str">
        <x:v>收入增长</x:v>
      </x:c>
      <x:c r="E5" s="11" t="str">
        <x:v>2026分部业绩</x:v>
      </x:c>
      <x:c r="F5" s="11" t="str">
        <x:v>2025分部业绩</x:v>
      </x:c>
      <x:c r="G5" s="11" t="str">
        <x:v>2026业绩率</x:v>
      </x:c>
      <x:c r="H5" s="11" t="str">
        <x:v>2025业绩率</x:v>
      </x:c>
      <x:c r="I5" s="11" t="str">
        <x:v>来源</x:v>
      </x:c>
      <x:c r="J5" s="11" t="str">
        <x:v>备注</x:v>
      </x:c>
    </x:row>
    <x:row r="7">
      <x:c r="A7" t="str">
        <x:v>物业管理服务</x:v>
      </x:c>
      <x:c r="B7" s="12" t="n">
        <x:v>6201995</x:v>
      </x:c>
      <x:c r="C7" s="12" t="n">
        <x:v>5667678</x:v>
      </x:c>
      <x:c r="D7" s="13" t="n">
        <x:f>IFERROR(B7/C7-1,"")</x:f>
        <x:v>0.0942744100846944</x:v>
      </x:c>
      <x:c r="E7" s="13" t="n">
        <x:v>672296</x:v>
      </x:c>
      <x:c r="F7" s="13" t="n">
        <x:v>753603</x:v>
      </x:c>
      <x:c r="G7" s="13" t="n">
        <x:f>IFERROR(E7/B7,"")</x:f>
        <x:v>0.10839995840048243</x:v>
      </x:c>
      <x:c r="H7" s="13" t="n">
        <x:f>IFERROR(F7/C7,"")</x:f>
        <x:v>0.13296503435798576</x:v>
      </x:c>
      <x:c r="I7" s="15" t="str">
        <x:v>PDF p33-34</x:v>
      </x:c>
      <x:c r="J7" s="15" t="str"/>
    </x:row>
    <x:row r="8">
      <x:c r="A8" t="str">
        <x:v>非业主增值服务</x:v>
      </x:c>
      <x:c r="B8" s="12" t="n">
        <x:v>732824</x:v>
      </x:c>
      <x:c r="C8" s="12" t="n">
        <x:v>857815</x:v>
      </x:c>
      <x:c r="D8" s="13" t="n">
        <x:f>IFERROR(B8/C8-1,"")</x:f>
        <x:v>-0.145708573526926</x:v>
      </x:c>
      <x:c r="E8" s="13" t="n">
        <x:v>65312</x:v>
      </x:c>
      <x:c r="F8" s="13" t="n">
        <x:v>84190</x:v>
      </x:c>
      <x:c r="G8" s="13" t="n">
        <x:f>IFERROR(E8/B8,"")</x:f>
        <x:v>0.08912371865550255</x:v>
      </x:c>
      <x:c r="H8" s="13" t="n">
        <x:f>IFERROR(F8/C8,"")</x:f>
        <x:v>0.09814470486060514</x:v>
      </x:c>
      <x:c r="I8" s="15" t="str">
        <x:v>PDF p33-34</x:v>
      </x:c>
      <x:c r="J8" s="15" t="str"/>
    </x:row>
    <x:row r="9">
      <x:c r="A9" t="str">
        <x:v>住户增值服务</x:v>
      </x:c>
      <x:c r="B9" s="12" t="n">
        <x:v>524567</x:v>
      </x:c>
      <x:c r="C9" s="12" t="n">
        <x:v>607989</x:v>
      </x:c>
      <x:c r="D9" s="13" t="n">
        <x:f>IFERROR(B9/C9-1,"")</x:f>
        <x:v>-0.1372097192547892</x:v>
      </x:c>
      <x:c r="E9" s="13" t="n">
        <x:v>189151</x:v>
      </x:c>
      <x:c r="F9" s="13" t="n">
        <x:v>202688</x:v>
      </x:c>
      <x:c r="G9" s="13" t="n">
        <x:f>IFERROR(E9/B9,"")</x:f>
        <x:v>0.36058501583210534</x:v>
      </x:c>
      <x:c r="H9" s="13" t="n">
        <x:f>IFERROR(F9/C9,"")</x:f>
        <x:v>0.3333744524983182</x:v>
      </x:c>
      <x:c r="I9" s="15" t="str">
        <x:v>PDF p33-34</x:v>
      </x:c>
      <x:c r="J9" s="15" t="str"/>
    </x:row>
    <x:row r="10">
      <x:c r="A10" t="str">
        <x:v>增值服务小计</x:v>
      </x:c>
      <x:c r="B10" s="12" t="n">
        <x:v>1257391</x:v>
      </x:c>
      <x:c r="C10" s="12" t="n">
        <x:v>1465804</x:v>
      </x:c>
      <x:c r="D10" s="13" t="n">
        <x:f>IFERROR(B10/C10-1,"")</x:f>
        <x:v>-0.14218340241942307</x:v>
      </x:c>
      <x:c r="E10" s="13" t="n">
        <x:v>254463</x:v>
      </x:c>
      <x:c r="F10" s="13" t="n">
        <x:v>286878</x:v>
      </x:c>
      <x:c r="G10" s="13" t="n">
        <x:f>IFERROR(E10/B10,"")</x:f>
        <x:v>0.2023738041706995</x:v>
      </x:c>
      <x:c r="H10" s="13" t="n">
        <x:f>IFERROR(F10/C10,"")</x:f>
        <x:v>0.19571375163391558</x:v>
      </x:c>
      <x:c r="I10" s="15" t="str">
        <x:v>PDF p33-34</x:v>
      </x:c>
      <x:c r="J10" s="15" t="str"/>
    </x:row>
    <x:row r="11">
      <x:c r="A11" t="str">
        <x:v>停车位买卖业务</x:v>
      </x:c>
      <x:c r="B11" s="12" t="n">
        <x:v>25392</x:v>
      </x:c>
      <x:c r="C11" s="12" t="n">
        <x:v>27291</x:v>
      </x:c>
      <x:c r="D11" s="13" t="n">
        <x:f>IFERROR(B11/C11-1,"")</x:f>
        <x:v>-0.0695833791359789</x:v>
      </x:c>
      <x:c r="E11" s="13" t="n">
        <x:v>7006</x:v>
      </x:c>
      <x:c r="F11" s="13" t="n">
        <x:v>7028</x:v>
      </x:c>
      <x:c r="G11" s="13" t="n">
        <x:f>IFERROR(E11/B11,"")</x:f>
        <x:v>0.27591367359798363</x:v>
      </x:c>
      <x:c r="H11" s="13" t="n">
        <x:f>IFERROR(F11/C11,"")</x:f>
        <x:v>0.2575207944010846</x:v>
      </x:c>
      <x:c r="I11" s="15" t="str">
        <x:v>PDF p33-34</x:v>
      </x:c>
      <x:c r="J11" s="15" t="str"/>
    </x:row>
    <x:row r="12">
      <x:c r="A12" s="24" t="str">
        <x:v>分部合计</x:v>
      </x:c>
      <x:c r="B12" s="25" t="n">
        <x:v>7484778</x:v>
      </x:c>
      <x:c r="C12" s="25" t="n">
        <x:v>7160773</x:v>
      </x:c>
      <x:c r="D12" s="26" t="n">
        <x:f>IFERROR(B12/C12-1,"")</x:f>
        <x:v>0.04524721004282628</x:v>
      </x:c>
      <x:c r="E12" s="26" t="n">
        <x:v>933765</x:v>
      </x:c>
      <x:c r="F12" s="26" t="n">
        <x:v>1047509</x:v>
      </x:c>
      <x:c r="G12" s="26" t="n">
        <x:f>IFERROR(E12/B12,"")</x:f>
        <x:v>0.12475520316033421</x:v>
      </x:c>
      <x:c r="H12" s="26" t="n">
        <x:f>IFERROR(F12/C12,"")</x:f>
        <x:v>0.14628434667598036</x:v>
      </x:c>
      <x:c r="I12" s="27" t="str">
        <x:v>PDF p33-34</x:v>
      </x:c>
      <x:c r="J12" s="27" t="str"/>
    </x:row>
    <x:row r="13">
      <x:c r="A13" t="str">
        <x:v>未分配企业开支</x:v>
      </x:c>
      <x:c r="B13" s="12" t="n">
        <x:v>0</x:v>
      </x:c>
      <x:c r="C13" s="12" t="n">
        <x:v>0</x:v>
      </x:c>
      <x:c r="D13" s="13" t="str">
        <x:f>IFERROR(B13/C13-1,"")</x:f>
      </x:c>
      <x:c r="E13" s="13" t="n">
        <x:v>-11820</x:v>
      </x:c>
      <x:c r="F13" s="13" t="n">
        <x:v>-14660</x:v>
      </x:c>
      <x:c r="G13" s="13" t="str">
        <x:f>IFERROR(E13/B13,"")</x:f>
      </x:c>
      <x:c r="H13" s="13" t="str">
        <x:f>IFERROR(F13/C13,"")</x:f>
      </x:c>
      <x:c r="I13" s="15" t="str">
        <x:v>PDF p33-34</x:v>
      </x:c>
      <x:c r="J13" s="15" t="str"/>
    </x:row>
    <x:row r="14">
      <x:c r="A14" t="str">
        <x:v>除税前溢利</x:v>
      </x:c>
      <x:c r="B14" s="12" t="n">
        <x:v>0</x:v>
      </x:c>
      <x:c r="C14" s="12" t="n">
        <x:v>0</x:v>
      </x:c>
      <x:c r="D14" s="13" t="str">
        <x:f>IFERROR(B14/C14-1,"")</x:f>
      </x:c>
      <x:c r="E14" s="13" t="n">
        <x:v>921945</x:v>
      </x:c>
      <x:c r="F14" s="13" t="n">
        <x:v>1032849</x:v>
      </x:c>
      <x:c r="G14" s="13" t="str">
        <x:f>IFERROR(E14/B14,"")</x:f>
      </x:c>
      <x:c r="H14" s="13" t="str">
        <x:f>IFERROR(F14/C14,"")</x:f>
      </x:c>
      <x:c r="I14" s="15" t="str">
        <x:v>PDF p33-34</x:v>
      </x:c>
      <x:c r="J14" s="15" t="str"/>
    </x:row>
    <x:row r="17" ht="22" customHeight="1">
      <x:c r="A17" s="36" t="str">
        <x:v>收入明细（人民币千元）</x:v>
      </x:c>
      <x:c r="B17" s="36" t="str">
        <x:v>收入明细（人民币千元）</x:v>
      </x:c>
      <x:c r="C17" s="36" t="str">
        <x:v>收入明细（人民币千元）</x:v>
      </x:c>
      <x:c r="D17" s="36" t="str">
        <x:v>收入明细（人民币千元）</x:v>
      </x:c>
      <x:c r="E17" s="36" t="str">
        <x:v>收入明细（人民币千元）</x:v>
      </x:c>
      <x:c r="F17" s="36" t="str">
        <x:v>收入明细（人民币千元）</x:v>
      </x:c>
      <x:c r="G17" s="36" t="str">
        <x:v>收入明细（人民币千元）</x:v>
      </x:c>
      <x:c r="H17" s="36" t="str">
        <x:v>收入明细（人民币千元）</x:v>
      </x:c>
      <x:c r="I17" s="36" t="str">
        <x:v>收入明细（人民币千元）</x:v>
      </x:c>
      <x:c r="J17" s="36" t="str">
        <x:v>收入明细（人民币千元）</x:v>
      </x:c>
    </x:row>
    <x:row r="18" ht="28" customHeight="1">
      <x:c r="A18" s="11" t="str">
        <x:v>收入项目</x:v>
      </x:c>
      <x:c r="B18" s="11" t="str">
        <x:v>2026H1</x:v>
      </x:c>
      <x:c r="C18" s="11" t="str">
        <x:v>2025H1</x:v>
      </x:c>
      <x:c r="D18" s="11" t="str">
        <x:v>变动额</x:v>
      </x:c>
      <x:c r="E18" s="11" t="str">
        <x:v>变动率</x:v>
      </x:c>
      <x:c r="F18" s="11" t="str">
        <x:v>2026占比</x:v>
      </x:c>
      <x:c r="G18" s="11" t="str">
        <x:v>2025占比</x:v>
      </x:c>
      <x:c r="H18" s="11" t="str">
        <x:v>来源</x:v>
      </x:c>
      <x:c r="I18" s="11" t="str">
        <x:v>备注</x:v>
      </x:c>
      <x:c r="J18" s="11" t="str"/>
    </x:row>
    <x:row r="20">
      <x:c r="A20" s="24" t="str">
        <x:v>物业管理服务</x:v>
      </x:c>
      <x:c r="B20" s="25" t="n">
        <x:v>6201995</x:v>
      </x:c>
      <x:c r="C20" s="25" t="n">
        <x:v>5667678</x:v>
      </x:c>
      <x:c r="D20" s="25" t="n">
        <x:f>B20-C20</x:f>
        <x:v>534317</x:v>
      </x:c>
      <x:c r="E20" s="26" t="n">
        <x:f>IFERROR(B20/C20-1,"")</x:f>
        <x:v>0.0942744100846944</x:v>
      </x:c>
      <x:c r="F20" s="26" t="n">
        <x:f>IFERROR(B20/$B$35,"")</x:f>
        <x:v>0.8286144224985698</x:v>
      </x:c>
      <x:c r="G20" s="26" t="n">
        <x:f>IFERROR(C20/$C$35,"")</x:f>
        <x:v>0.7914896897304243</x:v>
      </x:c>
      <x:c r="H20" s="27" t="str">
        <x:v>PDF p12</x:v>
      </x:c>
      <x:c r="I20" s="27" t="str"/>
      <x:c r="J20" s="24" t="str"/>
    </x:row>
    <x:row r="21">
      <x:c r="A21" t="str">
        <x:v>  包干制</x:v>
      </x:c>
      <x:c r="B21" s="12" t="n">
        <x:v>6075295</x:v>
      </x:c>
      <x:c r="C21" s="12" t="n">
        <x:v>5544432</x:v>
      </x:c>
      <x:c r="D21" s="12" t="n">
        <x:f>B21-C21</x:f>
        <x:v>530863</x:v>
      </x:c>
      <x:c r="E21" s="13" t="n">
        <x:f>IFERROR(B21/C21-1,"")</x:f>
        <x:v>0.09574704857052985</x:v>
      </x:c>
      <x:c r="F21" s="13" t="n">
        <x:f>IFERROR(B21/$B$35,"")</x:f>
        <x:v>0.8116867327260742</x:v>
      </x:c>
      <x:c r="G21" s="13" t="n">
        <x:f>IFERROR(C21/$C$35,"")</x:f>
        <x:v>0.7742784193829353</x:v>
      </x:c>
      <x:c r="H21" s="15" t="str">
        <x:v>PDF p12</x:v>
      </x:c>
      <x:c r="I21" s="15" t="str"/>
      <x:c r="J21" t="str"/>
    </x:row>
    <x:row r="22">
      <x:c r="A22" t="str">
        <x:v>    住宅物业</x:v>
      </x:c>
      <x:c r="B22" s="12" t="n">
        <x:v>3879828</x:v>
      </x:c>
      <x:c r="C22" s="12" t="n">
        <x:v>3630422</x:v>
      </x:c>
      <x:c r="D22" s="12" t="n">
        <x:f>B22-C22</x:f>
        <x:v>249406</x:v>
      </x:c>
      <x:c r="E22" s="13" t="n">
        <x:f>IFERROR(B22/C22-1,"")</x:f>
        <x:v>0.06869890056858408</x:v>
      </x:c>
      <x:c r="F22" s="13" t="n">
        <x:f>IFERROR(B22/$B$35,"")</x:f>
        <x:v>0.5183624684659985</x:v>
      </x:c>
      <x:c r="G22" s="13" t="n">
        <x:f>IFERROR(C22/$C$35,"")</x:f>
        <x:v>0.5069874439533274</x:v>
      </x:c>
      <x:c r="H22" s="15" t="str">
        <x:v>PDF p12</x:v>
      </x:c>
      <x:c r="I22" s="15" t="str"/>
      <x:c r="J22" t="str"/>
    </x:row>
    <x:row r="23">
      <x:c r="A23" t="str">
        <x:v>    办公园区</x:v>
      </x:c>
      <x:c r="B23" s="12" t="n">
        <x:v>818985</x:v>
      </x:c>
      <x:c r="C23" s="12" t="n">
        <x:v>753275</x:v>
      </x:c>
      <x:c r="D23" s="12" t="n">
        <x:f>B23-C23</x:f>
        <x:v>65710</x:v>
      </x:c>
      <x:c r="E23" s="13" t="n">
        <x:f>IFERROR(B23/C23-1,"")</x:f>
        <x:v>0.08723241843948104</x:v>
      </x:c>
      <x:c r="F23" s="13" t="n">
        <x:f>IFERROR(B23/$B$35,"")</x:f>
        <x:v>0.10942007899232283</x:v>
      </x:c>
      <x:c r="G23" s="13" t="n">
        <x:f>IFERROR(C23/$C$35,"")</x:f>
        <x:v>0.10519464867829213</x:v>
      </x:c>
      <x:c r="H23" s="15" t="str">
        <x:v>PDF p12</x:v>
      </x:c>
      <x:c r="I23" s="15" t="str"/>
      <x:c r="J23" t="str"/>
    </x:row>
    <x:row r="24">
      <x:c r="A24" t="str">
        <x:v>    城市空间</x:v>
      </x:c>
      <x:c r="B24" s="12" t="n">
        <x:v>1376482</x:v>
      </x:c>
      <x:c r="C24" s="12" t="n">
        <x:v>1160735</x:v>
      </x:c>
      <x:c r="D24" s="12" t="n">
        <x:f>B24-C24</x:f>
        <x:v>215747</x:v>
      </x:c>
      <x:c r="E24" s="13" t="n">
        <x:f>IFERROR(B24/C24-1,"")</x:f>
        <x:v>0.18587102137869538</x:v>
      </x:c>
      <x:c r="F24" s="13" t="n">
        <x:f>IFERROR(B24/$B$35,"")</x:f>
        <x:v>0.18390418526775276</x:v>
      </x:c>
      <x:c r="G24" s="13" t="n">
        <x:f>IFERROR(C24/$C$35,"")</x:f>
        <x:v>0.16209632675131583</x:v>
      </x:c>
      <x:c r="H24" s="15" t="str">
        <x:v>PDF p12</x:v>
      </x:c>
      <x:c r="I24" s="15" t="str"/>
      <x:c r="J24" t="str"/>
    </x:row>
    <x:row r="25">
      <x:c r="A25" t="str">
        <x:v>  酬金制</x:v>
      </x:c>
      <x:c r="B25" s="12" t="n">
        <x:v>126700</x:v>
      </x:c>
      <x:c r="C25" s="12" t="n">
        <x:v>123246</x:v>
      </x:c>
      <x:c r="D25" s="12" t="n">
        <x:f>B25-C25</x:f>
        <x:v>3454</x:v>
      </x:c>
      <x:c r="E25" s="13" t="n">
        <x:f>IFERROR(B25/C25-1,"")</x:f>
        <x:v>0.028025250312383454</x:v>
      </x:c>
      <x:c r="F25" s="13" t="n">
        <x:f>IFERROR(B25/$B$35,"")</x:f>
        <x:v>0.01692768977249559</x:v>
      </x:c>
      <x:c r="G25" s="13" t="n">
        <x:f>IFERROR(C25/$C$35,"")</x:f>
        <x:v>0.01721127034748902</x:v>
      </x:c>
      <x:c r="H25" s="15" t="str">
        <x:v>PDF p12</x:v>
      </x:c>
      <x:c r="I25" s="15" t="str"/>
      <x:c r="J25" t="str"/>
    </x:row>
    <x:row r="26">
      <x:c r="A26" s="24" t="str">
        <x:v>非业主增值服务</x:v>
      </x:c>
      <x:c r="B26" s="25" t="n">
        <x:v>732824</x:v>
      </x:c>
      <x:c r="C26" s="25" t="n">
        <x:v>857815</x:v>
      </x:c>
      <x:c r="D26" s="25" t="n">
        <x:f>B26-C26</x:f>
        <x:v>-124991</x:v>
      </x:c>
      <x:c r="E26" s="26" t="n">
        <x:f>IFERROR(B26/C26-1,"")</x:f>
        <x:v>-0.145708573526926</x:v>
      </x:c>
      <x:c r="F26" s="26" t="n">
        <x:f>IFERROR(B26/$B$35,"")</x:f>
        <x:v>0.09790858192454072</x:v>
      </x:c>
      <x:c r="G26" s="26" t="n">
        <x:f>IFERROR(C26/$C$35,"")</x:f>
        <x:v>0.11979363121830562</x:v>
      </x:c>
      <x:c r="H26" s="27" t="str">
        <x:v>PDF p16</x:v>
      </x:c>
      <x:c r="I26" s="27" t="str"/>
      <x:c r="J26" s="24" t="str"/>
    </x:row>
    <x:row r="27">
      <x:c r="A27" t="str">
        <x:v>  工程服务</x:v>
      </x:c>
      <x:c r="B27" s="12" t="n">
        <x:v>474655</x:v>
      </x:c>
      <x:c r="C27" s="12" t="n">
        <x:v>560645</x:v>
      </x:c>
      <x:c r="D27" s="12" t="n">
        <x:f>B27-C27</x:f>
        <x:v>-85990</x:v>
      </x:c>
      <x:c r="E27" s="13" t="n">
        <x:f>IFERROR(B27/C27-1,"")</x:f>
        <x:v>-0.1533769140900213</x:v>
      </x:c>
      <x:c r="F27" s="13" t="n">
        <x:f>IFERROR(B27/$B$35,"")</x:f>
        <x:v>0.06341604253325883</x:v>
      </x:c>
      <x:c r="G27" s="13" t="n">
        <x:f>IFERROR(C27/$C$35,"")</x:f>
        <x:v>0.0782939216199145</x:v>
      </x:c>
      <x:c r="H27" s="15" t="str">
        <x:v>PDF p16</x:v>
      </x:c>
      <x:c r="I27" s="15" t="str"/>
      <x:c r="J27" t="str"/>
    </x:row>
    <x:row r="28">
      <x:c r="A28" t="str">
        <x:v>  前期物业管理</x:v>
      </x:c>
      <x:c r="B28" s="12" t="n">
        <x:v>225696</x:v>
      </x:c>
      <x:c r="C28" s="12" t="n">
        <x:v>242354</x:v>
      </x:c>
      <x:c r="D28" s="12" t="n">
        <x:f>B28-C28</x:f>
        <x:v>-16658</x:v>
      </x:c>
      <x:c r="E28" s="13" t="n">
        <x:f>IFERROR(B28/C28-1,"")</x:f>
        <x:v>-0.06873416572451863</x:v>
      </x:c>
      <x:c r="F28" s="13" t="n">
        <x:f>IFERROR(B28/$B$35,"")</x:f>
        <x:v>0.030154000559535633</x:v>
      </x:c>
      <x:c r="G28" s="13" t="n">
        <x:f>IFERROR(C28/$C$35,"")</x:f>
        <x:v>0.03384467012150783</x:v>
      </x:c>
      <x:c r="H28" s="15" t="str">
        <x:v>PDF p16</x:v>
      </x:c>
      <x:c r="I28" s="15" t="str"/>
      <x:c r="J28" t="str"/>
    </x:row>
    <x:row r="29">
      <x:c r="A29" t="str">
        <x:v>  交付前检验</x:v>
      </x:c>
      <x:c r="B29" s="12" t="n">
        <x:v>23994</x:v>
      </x:c>
      <x:c r="C29" s="12" t="n">
        <x:v>46811</x:v>
      </x:c>
      <x:c r="D29" s="12" t="n">
        <x:f>B29-C29</x:f>
        <x:v>-22817</x:v>
      </x:c>
      <x:c r="E29" s="13" t="n">
        <x:f>IFERROR(B29/C29-1,"")</x:f>
        <x:v>-0.4874281685928521</x:v>
      </x:c>
      <x:c r="F29" s="13" t="n">
        <x:f>IFERROR(B29/$B$35,"")</x:f>
        <x:v>0.003205706301509544</x:v>
      </x:c>
      <x:c r="G29" s="13" t="n">
        <x:f>IFERROR(C29/$C$35,"")</x:f>
        <x:v>0.006537143406165787</x:v>
      </x:c>
      <x:c r="H29" s="15" t="str">
        <x:v>PDF p16</x:v>
      </x:c>
      <x:c r="I29" s="15" t="str"/>
      <x:c r="J29" t="str"/>
    </x:row>
    <x:row r="30">
      <x:c r="A30" t="str">
        <x:v>  咨询服务</x:v>
      </x:c>
      <x:c r="B30" s="12" t="n">
        <x:v>8479</x:v>
      </x:c>
      <x:c r="C30" s="12" t="n">
        <x:v>8005</x:v>
      </x:c>
      <x:c r="D30" s="12" t="n">
        <x:f>B30-C30</x:f>
        <x:v>474</x:v>
      </x:c>
      <x:c r="E30" s="13" t="n">
        <x:f>IFERROR(B30/C30-1,"")</x:f>
        <x:v>0.059212991880075005</x:v>
      </x:c>
      <x:c r="F30" s="13" t="n">
        <x:f>IFERROR(B30/$B$35,"")</x:f>
        <x:v>0.0011328325302367018</x:v>
      </x:c>
      <x:c r="G30" s="13" t="n">
        <x:f>IFERROR(C30/$C$35,"")</x:f>
        <x:v>0.001117896070717505</x:v>
      </x:c>
      <x:c r="H30" s="15" t="str">
        <x:v>PDF p16</x:v>
      </x:c>
      <x:c r="I30" s="15" t="str"/>
      <x:c r="J30" t="str"/>
    </x:row>
    <x:row r="31">
      <x:c r="A31" s="24" t="str">
        <x:v>住户增值服务</x:v>
      </x:c>
      <x:c r="B31" s="25" t="n">
        <x:v>524567</x:v>
      </x:c>
      <x:c r="C31" s="25" t="n">
        <x:v>607989</x:v>
      </x:c>
      <x:c r="D31" s="25" t="n">
        <x:f>B31-C31</x:f>
        <x:v>-83422</x:v>
      </x:c>
      <x:c r="E31" s="26" t="n">
        <x:f>IFERROR(B31/C31-1,"")</x:f>
        <x:v>-0.1372097192547892</x:v>
      </x:c>
      <x:c r="F31" s="26" t="n">
        <x:f>IFERROR(B31/$B$35,"")</x:f>
        <x:v>0.07008451018854533</x:v>
      </x:c>
      <x:c r="G31" s="26" t="n">
        <x:f>IFERROR(C31/$C$35,"")</x:f>
        <x:v>0.08490549833097628</x:v>
      </x:c>
      <x:c r="H31" s="27" t="str">
        <x:v>PDF p19</x:v>
      </x:c>
      <x:c r="I31" s="27" t="str"/>
      <x:c r="J31" s="24" t="str"/>
    </x:row>
    <x:row r="32">
      <x:c r="A32" t="str">
        <x:v>  社区资产运营</x:v>
      </x:c>
      <x:c r="B32" s="12" t="n">
        <x:v>317693</x:v>
      </x:c>
      <x:c r="C32" s="12" t="n">
        <x:v>330390</x:v>
      </x:c>
      <x:c r="D32" s="12" t="n">
        <x:f>B32-C32</x:f>
        <x:v>-12697</x:v>
      </x:c>
      <x:c r="E32" s="13" t="n">
        <x:f>IFERROR(B32/C32-1,"")</x:f>
        <x:v>-0.038430339901328714</x:v>
      </x:c>
      <x:c r="F32" s="13" t="n">
        <x:f>IFERROR(B32/$B$35,"")</x:f>
        <x:v>0.0424452134719293</x:v>
      </x:c>
      <x:c r="G32" s="13" t="n">
        <x:f>IFERROR(C32/$C$35,"")</x:f>
        <x:v>0.04613887355457295</x:v>
      </x:c>
      <x:c r="H32" s="15" t="str">
        <x:v>PDF p19</x:v>
      </x:c>
      <x:c r="I32" s="15" t="str"/>
      <x:c r="J32" t="str"/>
    </x:row>
    <x:row r="33">
      <x:c r="A33" t="str">
        <x:v>  居家生活及商业服务</x:v>
      </x:c>
      <x:c r="B33" s="12" t="n">
        <x:v>206874</x:v>
      </x:c>
      <x:c r="C33" s="12" t="n">
        <x:v>277599</x:v>
      </x:c>
      <x:c r="D33" s="12" t="n">
        <x:f>B33-C33</x:f>
        <x:v>-70725</x:v>
      </x:c>
      <x:c r="E33" s="13" t="n">
        <x:f>IFERROR(B33/C33-1,"")</x:f>
        <x:v>-0.2547739725287195</x:v>
      </x:c>
      <x:c r="F33" s="13" t="n">
        <x:f>IFERROR(B33/$B$35,"")</x:f>
        <x:v>0.027639296716616045</x:v>
      </x:c>
      <x:c r="G33" s="13" t="n">
        <x:f>IFERROR(C33/$C$35,"")</x:f>
        <x:v>0.03876662477640333</x:v>
      </x:c>
      <x:c r="H33" s="15" t="str">
        <x:v>PDF p19</x:v>
      </x:c>
      <x:c r="I33" s="15" t="str"/>
      <x:c r="J33" t="str"/>
    </x:row>
    <x:row r="34">
      <x:c r="A34" s="24" t="str">
        <x:v>停车位买卖业务</x:v>
      </x:c>
      <x:c r="B34" s="25" t="n">
        <x:v>25392</x:v>
      </x:c>
      <x:c r="C34" s="25" t="n">
        <x:v>27291</x:v>
      </x:c>
      <x:c r="D34" s="25" t="n">
        <x:f>B34-C34</x:f>
        <x:v>-1899</x:v>
      </x:c>
      <x:c r="E34" s="26" t="n">
        <x:f>IFERROR(B34/C34-1,"")</x:f>
        <x:v>-0.0695833791359789</x:v>
      </x:c>
      <x:c r="F34" s="26" t="n">
        <x:f>IFERROR(B34/$B$35,"")</x:f>
        <x:v>0.0033924853883441834</x:v>
      </x:c>
      <x:c r="G34" s="26" t="n">
        <x:f>IFERROR(C34/$C$35,"")</x:f>
        <x:v>0.0038111807202937447</x:v>
      </x:c>
      <x:c r="H34" s="27" t="str">
        <x:v>PDF p21</x:v>
      </x:c>
      <x:c r="I34" s="27" t="str"/>
      <x:c r="J34" s="24" t="str"/>
    </x:row>
    <x:row r="35">
      <x:c r="A35" s="24" t="str">
        <x:v>收入合计</x:v>
      </x:c>
      <x:c r="B35" s="25" t="n">
        <x:v>7484778</x:v>
      </x:c>
      <x:c r="C35" s="25" t="n">
        <x:v>7160773</x:v>
      </x:c>
      <x:c r="D35" s="25" t="n">
        <x:f>B35-C35</x:f>
        <x:v>324005</x:v>
      </x:c>
      <x:c r="E35" s="26" t="n">
        <x:f>IFERROR(B35/C35-1,"")</x:f>
        <x:v>0.04524721004282628</x:v>
      </x:c>
      <x:c r="F35" s="26" t="n">
        <x:f>IFERROR(B35/$B$35,"")</x:f>
        <x:v>1</x:v>
      </x:c>
      <x:c r="G35" s="26" t="n">
        <x:f>IFERROR(C35/$C$35,"")</x:f>
        <x:v>1</x:v>
      </x:c>
      <x:c r="H35" s="27" t="str">
        <x:v>PDF p25</x:v>
      </x:c>
      <x:c r="I35" s="27" t="str">
        <x:v>2025H1已重列</x:v>
      </x:c>
      <x:c r="J35" s="24" t="str"/>
    </x:row>
    <x:row r="38" ht="22" customHeight="1">
      <x:c r="A38" s="36" t="str">
        <x:v>收入确认时间与报告毛利率</x:v>
      </x:c>
      <x:c r="B38" s="36" t="str">
        <x:v>收入确认时间与报告毛利率</x:v>
      </x:c>
      <x:c r="C38" s="36" t="str">
        <x:v>收入确认时间与报告毛利率</x:v>
      </x:c>
      <x:c r="D38" s="36" t="str">
        <x:v>收入确认时间与报告毛利率</x:v>
      </x:c>
      <x:c r="E38" s="36" t="str">
        <x:v>收入确认时间与报告毛利率</x:v>
      </x:c>
      <x:c r="F38" s="36" t="str">
        <x:v>收入确认时间与报告毛利率</x:v>
      </x:c>
      <x:c r="G38" s="36" t="str">
        <x:v>收入确认时间与报告毛利率</x:v>
      </x:c>
      <x:c r="H38" s="36" t="str">
        <x:v>收入确认时间与报告毛利率</x:v>
      </x:c>
      <x:c r="I38" s="36" t="str">
        <x:v>收入确认时间与报告毛利率</x:v>
      </x:c>
      <x:c r="J38" s="36" t="str">
        <x:v>收入确认时间与报告毛利率</x:v>
      </x:c>
    </x:row>
    <x:row r="39" ht="28" customHeight="1">
      <x:c r="A39" s="11" t="str">
        <x:v>项目</x:v>
      </x:c>
      <x:c r="B39" s="11" t="str">
        <x:v>2026H1</x:v>
      </x:c>
      <x:c r="C39" s="11" t="str">
        <x:v>2025H1</x:v>
      </x:c>
      <x:c r="D39" s="11" t="str">
        <x:v>变动额</x:v>
      </x:c>
      <x:c r="E39" s="11" t="str">
        <x:v>变动率</x:v>
      </x:c>
      <x:c r="F39" s="11" t="str">
        <x:v>单位</x:v>
      </x:c>
      <x:c r="G39" s="11" t="str">
        <x:v>来源</x:v>
      </x:c>
      <x:c r="H39" s="11" t="str">
        <x:v>备注</x:v>
      </x:c>
      <x:c r="I39" s="11" t="str"/>
      <x:c r="J39" s="11" t="str"/>
    </x:row>
    <x:row r="41">
      <x:c r="A41" t="str">
        <x:v>于某一时间点确认的客户合约收入</x:v>
      </x:c>
      <x:c r="B41" s="37" t="n">
        <x:v>398875</x:v>
      </x:c>
      <x:c r="C41" s="37" t="n">
        <x:v>457819</x:v>
      </x:c>
      <x:c r="D41" s="37" t="n">
        <x:f>IF(OR(B41="",C41=""),"",B41-C41)</x:f>
        <x:v>-58944</x:v>
      </x:c>
      <x:c r="E41" s="13" t="n">
        <x:f>IFERROR(B41/C41-1,"")</x:f>
        <x:v>-0.12874957133714415</x:v>
      </x:c>
      <x:c r="F41" t="str">
        <x:v>人民币千元</x:v>
      </x:c>
      <x:c r="G41" s="15" t="str">
        <x:v>PDF p35</x:v>
      </x:c>
      <x:c r="H41" s="15" t="str"/>
      <x:c r="I41" t="str"/>
      <x:c r="J41" t="str"/>
    </x:row>
    <x:row r="42">
      <x:c r="A42" t="str">
        <x:v>随时间确认的客户合约收入</x:v>
      </x:c>
      <x:c r="B42" s="37" t="n">
        <x:v>7076411</x:v>
      </x:c>
      <x:c r="C42" s="37" t="n">
        <x:v>6695203</x:v>
      </x:c>
      <x:c r="D42" s="37" t="n">
        <x:f>IF(OR(B42="",C42=""),"",B42-C42)</x:f>
        <x:v>381208</x:v>
      </x:c>
      <x:c r="E42" s="13" t="n">
        <x:f>IFERROR(B42/C42-1,"")</x:f>
        <x:v>0.05693748195536408</x:v>
      </x:c>
      <x:c r="F42" t="str">
        <x:v>人民币千元</x:v>
      </x:c>
      <x:c r="G42" s="15" t="str">
        <x:v>PDF p35</x:v>
      </x:c>
      <x:c r="H42" s="15" t="str"/>
      <x:c r="I42" t="str"/>
      <x:c r="J42" t="str"/>
    </x:row>
    <x:row r="43">
      <x:c r="A43" t="str">
        <x:v>客户合约收入</x:v>
      </x:c>
      <x:c r="B43" s="37" t="n">
        <x:v>7475286</x:v>
      </x:c>
      <x:c r="C43" s="37" t="n">
        <x:v>7153022</x:v>
      </x:c>
      <x:c r="D43" s="37" t="n">
        <x:f>IF(OR(B43="",C43=""),"",B43-C43)</x:f>
        <x:v>322264</x:v>
      </x:c>
      <x:c r="E43" s="13" t="n">
        <x:f>IFERROR(B43/C43-1,"")</x:f>
        <x:v>0.045052846195635876</x:v>
      </x:c>
      <x:c r="F43" t="str">
        <x:v>人民币千元</x:v>
      </x:c>
      <x:c r="G43" s="15" t="str">
        <x:v>PDF p35</x:v>
      </x:c>
      <x:c r="H43" s="15" t="str"/>
      <x:c r="I43" t="str"/>
      <x:c r="J43" t="str"/>
    </x:row>
    <x:row r="44">
      <x:c r="A44" t="str">
        <x:v>租金收入</x:v>
      </x:c>
      <x:c r="B44" s="37" t="n">
        <x:v>9492</x:v>
      </x:c>
      <x:c r="C44" s="37" t="n">
        <x:v>7751</x:v>
      </x:c>
      <x:c r="D44" s="37" t="n">
        <x:f>IF(OR(B44="",C44=""),"",B44-C44)</x:f>
        <x:v>1741</x:v>
      </x:c>
      <x:c r="E44" s="13" t="n">
        <x:f>IFERROR(B44/C44-1,"")</x:f>
        <x:v>0.22461617855760552</x:v>
      </x:c>
      <x:c r="F44" t="str">
        <x:v>人民币千元</x:v>
      </x:c>
      <x:c r="G44" s="15" t="str">
        <x:v>PDF p35</x:v>
      </x:c>
      <x:c r="H44" s="15" t="str"/>
      <x:c r="I44" t="str"/>
      <x:c r="J44" t="str"/>
    </x:row>
    <x:row r="45">
      <x:c r="A45" t="str">
        <x:v>物业管理服务毛利率</x:v>
      </x:c>
      <x:c r="B45" s="37" t="n">
        <x:v>0.13</x:v>
      </x:c>
      <x:c r="C45" s="37" t="n">
        <x:v>0.154</x:v>
      </x:c>
      <x:c r="D45" s="37" t="n">
        <x:f>IF(OR(B45="",C45=""),"",B45-C45)</x:f>
        <x:v>-0.023999999999999994</x:v>
      </x:c>
      <x:c r="E45" s="13" t="n">
        <x:f>IFERROR(B45/C45-1,"")</x:f>
        <x:v>-0.15584415584415579</x:v>
      </x:c>
      <x:c r="F45" t="str">
        <x:v>%</x:v>
      </x:c>
      <x:c r="G45" s="15" t="str">
        <x:v>PDF p12</x:v>
      </x:c>
      <x:c r="H45" s="15" t="str"/>
      <x:c r="I45" t="str"/>
      <x:c r="J45" t="str"/>
    </x:row>
    <x:row r="46">
      <x:c r="A46" t="str">
        <x:v>非业主增值服务毛利率</x:v>
      </x:c>
      <x:c r="B46" s="37" t="n">
        <x:v>0.133</x:v>
      </x:c>
      <x:c r="C46" s="37" t="n">
        <x:v>0.134</x:v>
      </x:c>
      <x:c r="D46" s="37" t="n">
        <x:f>IF(OR(B46="",C46=""),"",B46-C46)</x:f>
        <x:v>-0.0010000000000000009</x:v>
      </x:c>
      <x:c r="E46" s="13" t="n">
        <x:f>IFERROR(B46/C46-1,"")</x:f>
        <x:v>-0.007462686567164201</x:v>
      </x:c>
      <x:c r="F46" t="str">
        <x:v>%</x:v>
      </x:c>
      <x:c r="G46" s="15" t="str">
        <x:v>PDF p16</x:v>
      </x:c>
      <x:c r="H46" s="15" t="str">
        <x:v>毛利金额仅以约数披露</x:v>
      </x:c>
      <x:c r="I46" t="str"/>
      <x:c r="J46" t="str"/>
    </x:row>
    <x:row r="47">
      <x:c r="A47" t="str">
        <x:v>住户增值服务毛利率</x:v>
      </x:c>
      <x:c r="B47" s="37" t="n">
        <x:v>0.392</x:v>
      </x:c>
      <x:c r="C47" s="37" t="n">
        <x:v>0.352</x:v>
      </x:c>
      <x:c r="D47" s="37" t="n">
        <x:f>IF(OR(B47="",C47=""),"",B47-C47)</x:f>
        <x:v>0.040000000000000036</x:v>
      </x:c>
      <x:c r="E47" s="13" t="n">
        <x:f>IFERROR(B47/C47-1,"")</x:f>
        <x:v>0.11363636363636376</x:v>
      </x:c>
      <x:c r="F47" t="str">
        <x:v>%</x:v>
      </x:c>
      <x:c r="G47" s="15" t="str">
        <x:v>PDF p19</x:v>
      </x:c>
      <x:c r="H47" s="15" t="str">
        <x:v>毛利金额仅以约数披露</x:v>
      </x:c>
      <x:c r="I47" t="str"/>
      <x:c r="J47" t="str"/>
    </x:row>
    <x:row r="48">
      <x:c r="A48" t="str">
        <x:v>综合毛利率</x:v>
      </x:c>
      <x:c r="B48" s="37" t="n">
        <x:v>0.149</x:v>
      </x:c>
      <x:c r="C48" s="37" t="n">
        <x:v>0.169</x:v>
      </x:c>
      <x:c r="D48" s="37" t="n">
        <x:f>IF(OR(B48="",C48=""),"",B48-C48)</x:f>
        <x:v>-0.020000000000000018</x:v>
      </x:c>
      <x:c r="E48" s="13" t="n">
        <x:f>IFERROR(B48/C48-1,"")</x:f>
        <x:v>-0.11834319526627224</x:v>
      </x:c>
      <x:c r="F48" t="str">
        <x:v>%</x:v>
      </x:c>
      <x:c r="G48" s="15" t="str">
        <x:v>计算</x:v>
      </x:c>
      <x:c r="H48" s="15" t="str">
        <x:v>毛利/收入</x:v>
      </x:c>
      <x:c r="I48" t="str"/>
      <x:c r="J48" t="str"/>
    </x:row>
  </x:sheetData>
  <x:mergeCells>
    <x:mergeCell ref="A1:J1"/>
    <x:mergeCell ref="A2:J2"/>
    <x:mergeCell ref="A4:J4"/>
    <x:mergeCell ref="A17:J17"/>
    <x:mergeCell ref="A38:J38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17" hidden="0" customWidth="1"/>
    <x:col min="4" max="4" width="17" hidden="0" customWidth="1"/>
    <x:col min="5" max="5" width="16" hidden="0" customWidth="1"/>
    <x:col min="6" max="6" width="14" hidden="0" customWidth="1"/>
    <x:col min="7" max="7" width="22" hidden="0" customWidth="1"/>
    <x:col min="8" max="8" width="14" hidden="0" customWidth="1"/>
  </x:cols>
  <x:sheetData>
    <x:row r="1" ht="30" customHeight="1">
      <x:c r="A1" s="3" t="str">
        <x:v>经营与业务规模指标</x:v>
      </x:c>
      <x:c r="B1" s="3" t="str">
        <x:v>经营与业务规模指标</x:v>
      </x:c>
      <x:c r="C1" s="3" t="str">
        <x:v>经营与业务规模指标</x:v>
      </x:c>
      <x:c r="D1" s="3" t="str">
        <x:v>经营与业务规模指标</x:v>
      </x:c>
      <x:c r="E1" s="3" t="str">
        <x:v>经营与业务规模指标</x:v>
      </x:c>
      <x:c r="F1" s="3" t="str">
        <x:v>经营与业务规模指标</x:v>
      </x:c>
      <x:c r="G1" s="3" t="str">
        <x:v>经营与业务规模指标</x:v>
      </x:c>
      <x:c r="H1" s="3" t="str">
        <x:v>经营与业务规模指标</x:v>
      </x:c>
    </x:row>
    <x:row r="2" ht="26" customHeight="1">
      <x:c r="A2" s="6" t="str">
        <x:v>报告披露的原始经营数据；面积默认百万平方米，金额按各行单位</x:v>
      </x:c>
      <x:c r="B2" s="6" t="str">
        <x:v>报告披露的原始经营数据；面积默认百万平方米，金额按各行单位</x:v>
      </x:c>
      <x:c r="C2" s="6" t="str">
        <x:v>报告披露的原始经营数据；面积默认百万平方米，金额按各行单位</x:v>
      </x:c>
      <x:c r="D2" s="6" t="str">
        <x:v>报告披露的原始经营数据；面积默认百万平方米，金额按各行单位</x:v>
      </x:c>
      <x:c r="E2" s="6" t="str">
        <x:v>报告披露的原始经营数据；面积默认百万平方米，金额按各行单位</x:v>
      </x:c>
      <x:c r="F2" s="6" t="str">
        <x:v>报告披露的原始经营数据；面积默认百万平方米，金额按各行单位</x:v>
      </x:c>
      <x:c r="G2" s="6" t="str">
        <x:v>报告披露的原始经营数据；面积默认百万平方米，金额按各行单位</x:v>
      </x:c>
      <x:c r="H2" s="6" t="str">
        <x:v>报告披露的原始经营数据；面积默认百万平方米，金额按各行单位</x:v>
      </x:c>
    </x:row>
    <x:row r="5" ht="28" customHeight="1">
      <x:c r="A5" s="11" t="str">
        <x:v>主题</x:v>
      </x:c>
      <x:c r="B5" s="11" t="str">
        <x:v>指标</x:v>
      </x:c>
      <x:c r="C5" s="11" t="str">
        <x:v>2026H1/期末</x:v>
      </x:c>
      <x:c r="D5" s="11" t="str">
        <x:v>2025H1/期初</x:v>
      </x:c>
      <x:c r="E5" s="11" t="str">
        <x:v>变动额</x:v>
      </x:c>
      <x:c r="F5" s="11" t="str">
        <x:v>变动率</x:v>
      </x:c>
      <x:c r="G5" s="11" t="str">
        <x:v>单位</x:v>
      </x:c>
      <x:c r="H5" s="11" t="str">
        <x:v>来源</x:v>
      </x:c>
    </x:row>
    <x:row r="7">
      <x:c r="A7" t="str">
        <x:v>新签合约</x:v>
      </x:c>
      <x:c r="B7" t="str">
        <x:v>新增合约面积</x:v>
      </x:c>
      <x:c r="C7" s="37" t="n">
        <x:v>37</x:v>
      </x:c>
      <x:c r="D7" s="37"/>
      <x:c r="E7" s="37" t="str">
        <x:f>IF(OR(C7="",D7=""),"",C7-D7)</x:f>
      </x:c>
      <x:c r="F7" s="13" t="str">
        <x:f>IFERROR(C7/D7-1,"")</x:f>
      </x:c>
      <x:c r="G7" t="str">
        <x:v>百万平方米</x:v>
      </x:c>
      <x:c r="H7" s="15" t="str">
        <x:v>PDF p10</x:v>
      </x:c>
    </x:row>
    <x:row r="8">
      <x:c r="A8" t="str">
        <x:v>新签合约</x:v>
      </x:c>
      <x:c r="B8" t="str">
        <x:v>新增合约额</x:v>
      </x:c>
      <x:c r="C8" s="37" t="n">
        <x:v>2497.1</x:v>
      </x:c>
      <x:c r="D8" s="37"/>
      <x:c r="E8" s="37" t="str">
        <x:f>IF(OR(C8="",D8=""),"",C8-D8)</x:f>
      </x:c>
      <x:c r="F8" s="13" t="str">
        <x:f>IFERROR(C8/D8-1,"")</x:f>
      </x:c>
      <x:c r="G8" t="str">
        <x:v>人民币百万元</x:v>
      </x:c>
      <x:c r="H8" s="15" t="str">
        <x:v>PDF p10</x:v>
      </x:c>
    </x:row>
    <x:row r="9">
      <x:c r="A9" t="str">
        <x:v>新签来源</x:v>
      </x:c>
      <x:c r="B9" t="str">
        <x:v>中建/中海系新增面积</x:v>
      </x:c>
      <x:c r="C9" s="37" t="n">
        <x:v>5.2</x:v>
      </x:c>
      <x:c r="D9" s="37"/>
      <x:c r="E9" s="37" t="str">
        <x:f>IF(OR(C9="",D9=""),"",C9-D9)</x:f>
      </x:c>
      <x:c r="F9" s="13" t="str">
        <x:f>IFERROR(C9/D9-1,"")</x:f>
      </x:c>
      <x:c r="G9" t="str">
        <x:v>百万平方米</x:v>
      </x:c>
      <x:c r="H9" s="15" t="str">
        <x:v>PDF p10</x:v>
      </x:c>
    </x:row>
    <x:row r="10">
      <x:c r="A10" t="str">
        <x:v>新签来源</x:v>
      </x:c>
      <x:c r="B10" t="str">
        <x:v>第三方新增面积</x:v>
      </x:c>
      <x:c r="C10" s="37" t="n">
        <x:v>31.8</x:v>
      </x:c>
      <x:c r="D10" s="37"/>
      <x:c r="E10" s="37" t="str">
        <x:f>IF(OR(C10="",D10=""),"",C10-D10)</x:f>
      </x:c>
      <x:c r="F10" s="13" t="str">
        <x:f>IFERROR(C10/D10-1,"")</x:f>
      </x:c>
      <x:c r="G10" t="str">
        <x:v>百万平方米</x:v>
      </x:c>
      <x:c r="H10" s="15" t="str">
        <x:v>PDF p10</x:v>
      </x:c>
    </x:row>
    <x:row r="11">
      <x:c r="A11" t="str">
        <x:v>新签类型</x:v>
      </x:c>
      <x:c r="B11" t="str">
        <x:v>住宅新增面积</x:v>
      </x:c>
      <x:c r="C11" s="37" t="n">
        <x:v>8.6</x:v>
      </x:c>
      <x:c r="D11" s="37"/>
      <x:c r="E11" s="37" t="str">
        <x:f>IF(OR(C11="",D11=""),"",C11-D11)</x:f>
      </x:c>
      <x:c r="F11" s="13" t="str">
        <x:f>IFERROR(C11/D11-1,"")</x:f>
      </x:c>
      <x:c r="G11" t="str">
        <x:v>百万平方米</x:v>
      </x:c>
      <x:c r="H11" s="15" t="str">
        <x:v>PDF p11</x:v>
      </x:c>
    </x:row>
    <x:row r="12">
      <x:c r="A12" t="str">
        <x:v>新签类型</x:v>
      </x:c>
      <x:c r="B12" t="str">
        <x:v>非住宅新增面积</x:v>
      </x:c>
      <x:c r="C12" s="37" t="n">
        <x:v>28.4</x:v>
      </x:c>
      <x:c r="D12" s="37"/>
      <x:c r="E12" s="37" t="str">
        <x:f>IF(OR(C12="",D12=""),"",C12-D12)</x:f>
      </x:c>
      <x:c r="F12" s="13" t="str">
        <x:f>IFERROR(C12/D12-1,"")</x:f>
      </x:c>
      <x:c r="G12" t="str">
        <x:v>百万平方米</x:v>
      </x:c>
      <x:c r="H12" s="15" t="str">
        <x:v>PDF p11</x:v>
      </x:c>
    </x:row>
    <x:row r="13">
      <x:c r="A13" t="str">
        <x:v>在管规模</x:v>
      </x:c>
      <x:c r="B13" t="str">
        <x:v>在管面积</x:v>
      </x:c>
      <x:c r="C13" s="37" t="n">
        <x:v>495.4</x:v>
      </x:c>
      <x:c r="D13" s="37" t="n">
        <x:v>477.6</x:v>
      </x:c>
      <x:c r="E13" s="37" t="n">
        <x:f>IF(OR(C13="",D13=""),"",C13-D13)</x:f>
        <x:v>17.799999999999955</x:v>
      </x:c>
      <x:c r="F13" s="13" t="n">
        <x:f>IFERROR(C13/D13-1,"")</x:f>
        <x:v>0.03726968174204348</x:v>
      </x:c>
      <x:c r="G13" t="str">
        <x:v>百万平方米</x:v>
      </x:c>
      <x:c r="H13" s="15" t="str">
        <x:v>PDF p15</x:v>
      </x:c>
    </x:row>
    <x:row r="14">
      <x:c r="A14" t="str">
        <x:v>在管来源</x:v>
      </x:c>
      <x:c r="B14" t="str">
        <x:v>中建/中海系在管面积</x:v>
      </x:c>
      <x:c r="C14" s="37" t="n">
        <x:v>281</x:v>
      </x:c>
      <x:c r="D14" s="37" t="n">
        <x:v>273.5</x:v>
      </x:c>
      <x:c r="E14" s="37" t="n">
        <x:f>IF(OR(C14="",D14=""),"",C14-D14)</x:f>
        <x:v>7.5</x:v>
      </x:c>
      <x:c r="F14" s="13" t="n">
        <x:f>IFERROR(C14/D14-1,"")</x:f>
        <x:v>0.027422303473491727</x:v>
      </x:c>
      <x:c r="G14" t="str">
        <x:v>百万平方米</x:v>
      </x:c>
      <x:c r="H14" s="15" t="str">
        <x:v>PDF p15</x:v>
      </x:c>
    </x:row>
    <x:row r="15">
      <x:c r="A15" t="str">
        <x:v>在管来源</x:v>
      </x:c>
      <x:c r="B15" t="str">
        <x:v>第三方在管面积</x:v>
      </x:c>
      <x:c r="C15" s="37" t="n">
        <x:v>214.4</x:v>
      </x:c>
      <x:c r="D15" s="37" t="n">
        <x:v>204.1</x:v>
      </x:c>
      <x:c r="E15" s="37" t="n">
        <x:f>IF(OR(C15="",D15=""),"",C15-D15)</x:f>
        <x:v>10.300000000000011</x:v>
      </x:c>
      <x:c r="F15" s="13" t="n">
        <x:f>IFERROR(C15/D15-1,"")</x:f>
        <x:v>0.050465458108770234</x:v>
      </x:c>
      <x:c r="G15" t="str">
        <x:v>百万平方米</x:v>
      </x:c>
      <x:c r="H15" s="15" t="str">
        <x:v>PDF p15</x:v>
      </x:c>
    </x:row>
    <x:row r="16">
      <x:c r="A16" t="str">
        <x:v>在管类型</x:v>
      </x:c>
      <x:c r="B16" t="str">
        <x:v>住宅在管面积</x:v>
      </x:c>
      <x:c r="C16" s="37" t="n">
        <x:v>329.7</x:v>
      </x:c>
      <x:c r="D16" s="37" t="n">
        <x:v>327.8</x:v>
      </x:c>
      <x:c r="E16" s="37" t="n">
        <x:f>IF(OR(C16="",D16=""),"",C16-D16)</x:f>
        <x:v>1.8999999999999773</x:v>
      </x:c>
      <x:c r="F16" s="13" t="n">
        <x:f>IFERROR(C16/D16-1,"")</x:f>
        <x:v>0.0057962172056131855</x:v>
      </x:c>
      <x:c r="G16" t="str">
        <x:v>百万平方米</x:v>
      </x:c>
      <x:c r="H16" s="15" t="str">
        <x:v>PDF p15</x:v>
      </x:c>
    </x:row>
    <x:row r="17">
      <x:c r="A17" t="str">
        <x:v>在管类型</x:v>
      </x:c>
      <x:c r="B17" t="str">
        <x:v>非住宅在管面积</x:v>
      </x:c>
      <x:c r="C17" s="37" t="n">
        <x:v>165.7</x:v>
      </x:c>
      <x:c r="D17" s="37" t="n">
        <x:v>149.8</x:v>
      </x:c>
      <x:c r="E17" s="37" t="n">
        <x:f>IF(OR(C17="",D17=""),"",C17-D17)</x:f>
        <x:v>15.899999999999977</x:v>
      </x:c>
      <x:c r="F17" s="13" t="n">
        <x:f>IFERROR(C17/D17-1,"")</x:f>
        <x:v>0.10614152202937244</x:v>
      </x:c>
      <x:c r="G17" t="str">
        <x:v>百万平方米</x:v>
      </x:c>
      <x:c r="H17" s="15" t="str">
        <x:v>PDF p15</x:v>
      </x:c>
    </x:row>
    <x:row r="18">
      <x:c r="A18" t="str">
        <x:v>在管类型</x:v>
      </x:c>
      <x:c r="B18" t="str">
        <x:v>办公园区在管面积</x:v>
      </x:c>
      <x:c r="C18" s="37" t="n">
        <x:v>55</x:v>
      </x:c>
      <x:c r="D18" s="37" t="n">
        <x:v>51</x:v>
      </x:c>
      <x:c r="E18" s="37" t="n">
        <x:f>IF(OR(C18="",D18=""),"",C18-D18)</x:f>
        <x:v>4</x:v>
      </x:c>
      <x:c r="F18" s="13" t="n">
        <x:f>IFERROR(C18/D18-1,"")</x:f>
        <x:v>0.07843137254901955</x:v>
      </x:c>
      <x:c r="G18" t="str">
        <x:v>百万平方米</x:v>
      </x:c>
      <x:c r="H18" s="15" t="str">
        <x:v>PDF p15</x:v>
      </x:c>
    </x:row>
    <x:row r="19">
      <x:c r="A19" t="str">
        <x:v>在管类型</x:v>
      </x:c>
      <x:c r="B19" t="str">
        <x:v>城市空间在管面积</x:v>
      </x:c>
      <x:c r="C19" s="37" t="n">
        <x:v>110.7</x:v>
      </x:c>
      <x:c r="D19" s="37" t="n">
        <x:v>98.8</x:v>
      </x:c>
      <x:c r="E19" s="37" t="n">
        <x:f>IF(OR(C19="",D19=""),"",C19-D19)</x:f>
        <x:v>11.900000000000006</x:v>
      </x:c>
      <x:c r="F19" s="13" t="n">
        <x:f>IFERROR(C19/D19-1,"")</x:f>
        <x:v>0.12044534412955477</x:v>
      </x:c>
      <x:c r="G19" t="str">
        <x:v>百万平方米</x:v>
      </x:c>
      <x:c r="H19" s="15" t="str">
        <x:v>PDF p15</x:v>
      </x:c>
    </x:row>
    <x:row r="20">
      <x:c r="A20" t="str">
        <x:v>合同模式</x:v>
      </x:c>
      <x:c r="B20" t="str">
        <x:v>包干制在管面积</x:v>
      </x:c>
      <x:c r="C20" s="37" t="n">
        <x:v>419.6</x:v>
      </x:c>
      <x:c r="D20" s="37" t="n">
        <x:v>402.4</x:v>
      </x:c>
      <x:c r="E20" s="37" t="n">
        <x:f>IF(OR(C20="",D20=""),"",C20-D20)</x:f>
        <x:v>17.200000000000045</x:v>
      </x:c>
      <x:c r="F20" s="13" t="n">
        <x:f>IFERROR(C20/D20-1,"")</x:f>
        <x:v>0.04274353876739578</x:v>
      </x:c>
      <x:c r="G20" t="str">
        <x:v>百万平方米</x:v>
      </x:c>
      <x:c r="H20" s="15" t="str">
        <x:v>PDF p17</x:v>
      </x:c>
    </x:row>
    <x:row r="21">
      <x:c r="A21" t="str">
        <x:v>合同模式</x:v>
      </x:c>
      <x:c r="B21" t="str">
        <x:v>酬金制在管面积</x:v>
      </x:c>
      <x:c r="C21" s="37" t="n">
        <x:v>75.8</x:v>
      </x:c>
      <x:c r="D21" s="37" t="n">
        <x:v>75.2</x:v>
      </x:c>
      <x:c r="E21" s="37" t="n">
        <x:f>IF(OR(C21="",D21=""),"",C21-D21)</x:f>
        <x:v>0.5999999999999943</x:v>
      </x:c>
      <x:c r="F21" s="13" t="n">
        <x:f>IFERROR(C21/D21-1,"")</x:f>
        <x:v>0.007978723404255206</x:v>
      </x:c>
      <x:c r="G21" t="str">
        <x:v>百万平方米</x:v>
      </x:c>
      <x:c r="H21" s="15" t="str">
        <x:v>PDF p17</x:v>
      </x:c>
    </x:row>
    <x:row r="22">
      <x:c r="A22" t="str">
        <x:v>停车位</x:v>
      </x:c>
      <x:c r="B22" t="str">
        <x:v>售出停车位</x:v>
      </x:c>
      <x:c r="C22" s="37" t="n">
        <x:v>352</x:v>
      </x:c>
      <x:c r="D22" s="37" t="n">
        <x:v>365</x:v>
      </x:c>
      <x:c r="E22" s="37" t="n">
        <x:f>IF(OR(C22="",D22=""),"",C22-D22)</x:f>
        <x:v>-13</x:v>
      </x:c>
      <x:c r="F22" s="13" t="n">
        <x:f>IFERROR(C22/D22-1,"")</x:f>
        <x:v>-0.03561643835616435</x:v>
      </x:c>
      <x:c r="G22" t="str">
        <x:v>个</x:v>
      </x:c>
      <x:c r="H22" s="15" t="str">
        <x:v>PDF p21</x:v>
      </x:c>
    </x:row>
    <x:row r="23">
      <x:c r="A23" t="str">
        <x:v>人力</x:v>
      </x:c>
      <x:c r="B23" t="str">
        <x:v>员工人数</x:v>
      </x:c>
      <x:c r="C23" s="37" t="n">
        <x:v>37502</x:v>
      </x:c>
      <x:c r="D23" s="37" t="n">
        <x:v>38042</x:v>
      </x:c>
      <x:c r="E23" s="37" t="n">
        <x:f>IF(OR(C23="",D23=""),"",C23-D23)</x:f>
        <x:v>-540</x:v>
      </x:c>
      <x:c r="F23" s="13" t="n">
        <x:f>IFERROR(C23/D23-1,"")</x:f>
        <x:v>-0.014194837285105955</x:v>
      </x:c>
      <x:c r="G23" t="str">
        <x:v>人</x:v>
      </x:c>
      <x:c r="H23" s="15" t="str">
        <x:v>PDF p23</x:v>
      </x:c>
    </x:row>
    <x:row r="24">
      <x:c r="A24" t="str">
        <x:v>人力</x:v>
      </x:c>
      <x:c r="B24" t="str">
        <x:v>员工成本</x:v>
      </x:c>
      <x:c r="C24" s="37" t="n">
        <x:v>2085.6</x:v>
      </x:c>
      <x:c r="D24" s="37" t="n">
        <x:v>2049.3</x:v>
      </x:c>
      <x:c r="E24" s="37" t="n">
        <x:f>IF(OR(C24="",D24=""),"",C24-D24)</x:f>
        <x:v>36.29999999999973</x:v>
      </x:c>
      <x:c r="F24" s="13" t="n">
        <x:f>IFERROR(C24/D24-1,"")</x:f>
        <x:v>0.017713365539452353</x:v>
      </x:c>
      <x:c r="G24" t="str">
        <x:v>人民币百万元</x:v>
      </x:c>
      <x:c r="H24" s="15" t="str">
        <x:v>PDF p23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17" hidden="0" customWidth="1"/>
    <x:col min="3" max="3" width="17" hidden="0" customWidth="1"/>
    <x:col min="4" max="4" width="17" hidden="0" customWidth="1"/>
    <x:col min="5" max="5" width="14" hidden="0" customWidth="1"/>
    <x:col min="6" max="6" width="14" hidden="0" customWidth="1"/>
  </x:cols>
  <x:sheetData>
    <x:row r="1" ht="30" customHeight="1">
      <x:c r="A1" s="3" t="str">
        <x:v>营运资本、账龄与往来款项</x:v>
      </x:c>
      <x:c r="B1" s="3" t="str">
        <x:v>营运资本、账龄与往来款项</x:v>
      </x:c>
      <x:c r="C1" s="3" t="str">
        <x:v>营运资本、账龄与往来款项</x:v>
      </x:c>
      <x:c r="D1" s="3" t="str">
        <x:v>营运资本、账龄与往来款项</x:v>
      </x:c>
      <x:c r="E1" s="3" t="str">
        <x:v>营运资本、账龄与往来款项</x:v>
      </x:c>
      <x:c r="F1" s="3" t="str">
        <x:v>营运资本、账龄与往来款项</x:v>
      </x:c>
    </x:row>
    <x:row r="2" ht="26" customHeight="1">
      <x:c r="A2" s="6" t="str">
        <x:v>2026年6月30日对2025年12月31日 | 人民币千元</x:v>
      </x:c>
      <x:c r="B2" s="6" t="str">
        <x:v>2026年6月30日对2025年12月31日 | 人民币千元</x:v>
      </x:c>
      <x:c r="C2" s="6" t="str">
        <x:v>2026年6月30日对2025年12月31日 | 人民币千元</x:v>
      </x:c>
      <x:c r="D2" s="6" t="str">
        <x:v>2026年6月30日对2025年12月31日 | 人民币千元</x:v>
      </x:c>
      <x:c r="E2" s="6" t="str">
        <x:v>2026年6月30日对2025年12月31日 | 人民币千元</x:v>
      </x:c>
      <x:c r="F2" s="6" t="str">
        <x:v>2026年6月30日对2025年12月31日 | 人民币千元</x:v>
      </x:c>
    </x:row>
    <x:row r="4" ht="22" customHeight="1">
      <x:c r="A4" s="36" t="str">
        <x:v>贸易应收款</x:v>
      </x:c>
      <x:c r="B4" s="36" t="str">
        <x:v>贸易应收款</x:v>
      </x:c>
      <x:c r="C4" s="36" t="str">
        <x:v>贸易应收款</x:v>
      </x:c>
      <x:c r="D4" s="36" t="str">
        <x:v>贸易应收款</x:v>
      </x:c>
      <x:c r="E4" s="36" t="str">
        <x:v>贸易应收款</x:v>
      </x:c>
      <x:c r="F4" s="36" t="str">
        <x:v>贸易应收款</x:v>
      </x:c>
    </x:row>
    <x:row r="5" ht="28" customHeight="1">
      <x:c r="A5" s="11" t="str">
        <x:v>项目</x:v>
      </x:c>
      <x:c r="B5" s="11" t="str">
        <x:v>2026-06-30</x:v>
      </x:c>
      <x:c r="C5" s="11" t="str">
        <x:v>2025-12-31</x:v>
      </x:c>
      <x:c r="D5" s="11" t="str">
        <x:v>变动额</x:v>
      </x:c>
      <x:c r="E5" s="11" t="str">
        <x:v>变动率</x:v>
      </x:c>
      <x:c r="F5" s="11" t="str">
        <x:v>来源</x:v>
      </x:c>
    </x:row>
    <x:row r="7">
      <x:c r="A7" s="24" t="str">
        <x:v>贸易应收款总额</x:v>
      </x:c>
      <x:c r="B7" s="25" t="n">
        <x:v>4403275</x:v>
      </x:c>
      <x:c r="C7" s="25" t="n">
        <x:v>3237345</x:v>
      </x:c>
      <x:c r="D7" s="25" t="n">
        <x:f>IF(OR(B7="",C7=""),"",B7-C7)</x:f>
        <x:v>1165930</x:v>
      </x:c>
      <x:c r="E7" s="26" t="n">
        <x:f>IFERROR(B7/C7-1,"")</x:f>
        <x:v>0.36015006123845317</x:v>
      </x:c>
      <x:c r="F7" s="27" t="str">
        <x:v>PDF p38</x:v>
      </x:c>
    </x:row>
    <x:row r="8">
      <x:c r="A8" s="24" t="str">
        <x:v>减：减值拨备</x:v>
      </x:c>
      <x:c r="B8" s="25" t="n">
        <x:v>-422852</x:v>
      </x:c>
      <x:c r="C8" s="25" t="n">
        <x:v>-360581</x:v>
      </x:c>
      <x:c r="D8" s="25" t="n">
        <x:f>IF(OR(B8="",C8=""),"",B8-C8)</x:f>
        <x:v>-62271</x:v>
      </x:c>
      <x:c r="E8" s="26" t="n">
        <x:f>IFERROR(B8/C8-1,"")</x:f>
        <x:v>0.1726962873806439</x:v>
      </x:c>
      <x:c r="F8" s="27" t="str">
        <x:v>PDF p38</x:v>
      </x:c>
    </x:row>
    <x:row r="9">
      <x:c r="A9" s="24" t="str">
        <x:v>贸易应收款净额</x:v>
      </x:c>
      <x:c r="B9" s="25" t="n">
        <x:v>3980423</x:v>
      </x:c>
      <x:c r="C9" s="25" t="n">
        <x:v>2876764</x:v>
      </x:c>
      <x:c r="D9" s="25" t="n">
        <x:f>IF(OR(B9="",C9=""),"",B9-C9)</x:f>
        <x:v>1103659</x:v>
      </x:c>
      <x:c r="E9" s="26" t="n">
        <x:f>IFERROR(B9/C9-1,"")</x:f>
        <x:v>0.3836459994632859</x:v>
      </x:c>
      <x:c r="F9" s="27" t="str">
        <x:v>PDF p38</x:v>
      </x:c>
    </x:row>
    <x:row r="12" ht="22" customHeight="1">
      <x:c r="A12" s="36" t="str">
        <x:v>贸易应收款账龄（净额）</x:v>
      </x:c>
      <x:c r="B12" s="36" t="str">
        <x:v>贸易应收款账龄（净额）</x:v>
      </x:c>
      <x:c r="C12" s="36" t="str">
        <x:v>贸易应收款账龄（净额）</x:v>
      </x:c>
      <x:c r="D12" s="36" t="str">
        <x:v>贸易应收款账龄（净额）</x:v>
      </x:c>
      <x:c r="E12" s="36" t="str">
        <x:v>贸易应收款账龄（净额）</x:v>
      </x:c>
      <x:c r="F12" s="36" t="str">
        <x:v>贸易应收款账龄（净额）</x:v>
      </x:c>
    </x:row>
    <x:row r="13" ht="28" customHeight="1">
      <x:c r="A13" s="11" t="str">
        <x:v>项目</x:v>
      </x:c>
      <x:c r="B13" s="11" t="str">
        <x:v>2026-06-30</x:v>
      </x:c>
      <x:c r="C13" s="11" t="str">
        <x:v>2025-12-31</x:v>
      </x:c>
      <x:c r="D13" s="11" t="str">
        <x:v>变动额</x:v>
      </x:c>
      <x:c r="E13" s="11" t="str">
        <x:v>变动率</x:v>
      </x:c>
      <x:c r="F13" s="11" t="str">
        <x:v>来源</x:v>
      </x:c>
    </x:row>
    <x:row r="15">
      <x:c r="A15" t="str">
        <x:v>1个月以内</x:v>
      </x:c>
      <x:c r="B15" s="12" t="n">
        <x:v>910307</x:v>
      </x:c>
      <x:c r="C15" s="12" t="n">
        <x:v>729093</x:v>
      </x:c>
      <x:c r="D15" s="12" t="n">
        <x:f>IF(OR(B15="",C15=""),"",B15-C15)</x:f>
        <x:v>181214</x:v>
      </x:c>
      <x:c r="E15" s="13" t="n">
        <x:f>IFERROR(B15/C15-1,"")</x:f>
        <x:v>0.248547167508123</x:v>
      </x:c>
      <x:c r="F15" s="15" t="str">
        <x:v>PDF p39</x:v>
      </x:c>
    </x:row>
    <x:row r="16">
      <x:c r="A16" t="str">
        <x:v>1至3个月</x:v>
      </x:c>
      <x:c r="B16" s="12" t="n">
        <x:v>936131</x:v>
      </x:c>
      <x:c r="C16" s="12" t="n">
        <x:v>589953</x:v>
      </x:c>
      <x:c r="D16" s="12" t="n">
        <x:f>IF(OR(B16="",C16=""),"",B16-C16)</x:f>
        <x:v>346178</x:v>
      </x:c>
      <x:c r="E16" s="13" t="n">
        <x:f>IFERROR(B16/C16-1,"")</x:f>
        <x:v>0.5867891170991588</x:v>
      </x:c>
      <x:c r="F16" s="15" t="str">
        <x:v>PDF p39</x:v>
      </x:c>
    </x:row>
    <x:row r="17">
      <x:c r="A17" t="str">
        <x:v>4至12个月</x:v>
      </x:c>
      <x:c r="B17" s="12" t="n">
        <x:v>1323856</x:v>
      </x:c>
      <x:c r="C17" s="12" t="n">
        <x:v>951039</x:v>
      </x:c>
      <x:c r="D17" s="12" t="n">
        <x:f>IF(OR(B17="",C17=""),"",B17-C17)</x:f>
        <x:v>372817</x:v>
      </x:c>
      <x:c r="E17" s="13" t="n">
        <x:f>IFERROR(B17/C17-1,"")</x:f>
        <x:v>0.3920102119892035</x:v>
      </x:c>
      <x:c r="F17" s="15" t="str">
        <x:v>PDF p39</x:v>
      </x:c>
    </x:row>
    <x:row r="18">
      <x:c r="A18" t="str">
        <x:v>1至2年</x:v>
      </x:c>
      <x:c r="B18" s="12" t="n">
        <x:v>561059</x:v>
      </x:c>
      <x:c r="C18" s="12" t="n">
        <x:v>416368</x:v>
      </x:c>
      <x:c r="D18" s="12" t="n">
        <x:f>IF(OR(B18="",C18=""),"",B18-C18)</x:f>
        <x:v>144691</x:v>
      </x:c>
      <x:c r="E18" s="13" t="n">
        <x:f>IFERROR(B18/C18-1,"")</x:f>
        <x:v>0.34750749337124853</x:v>
      </x:c>
      <x:c r="F18" s="15" t="str">
        <x:v>PDF p39</x:v>
      </x:c>
    </x:row>
    <x:row r="19">
      <x:c r="A19" t="str">
        <x:v>2年以上</x:v>
      </x:c>
      <x:c r="B19" s="12" t="n">
        <x:v>249070</x:v>
      </x:c>
      <x:c r="C19" s="12" t="n">
        <x:v>190311</x:v>
      </x:c>
      <x:c r="D19" s="12" t="n">
        <x:f>IF(OR(B19="",C19=""),"",B19-C19)</x:f>
        <x:v>58759</x:v>
      </x:c>
      <x:c r="E19" s="13" t="n">
        <x:f>IFERROR(B19/C19-1,"")</x:f>
        <x:v>0.30875251561917083</x:v>
      </x:c>
      <x:c r="F19" s="15" t="str">
        <x:v>PDF p39</x:v>
      </x:c>
    </x:row>
    <x:row r="20">
      <x:c r="A20" s="24" t="str">
        <x:v>账龄合计</x:v>
      </x:c>
      <x:c r="B20" s="25" t="n">
        <x:v>3980423</x:v>
      </x:c>
      <x:c r="C20" s="25" t="n">
        <x:v>2876764</x:v>
      </x:c>
      <x:c r="D20" s="25" t="n">
        <x:f>IF(OR(B20="",C20=""),"",B20-C20)</x:f>
        <x:v>1103659</x:v>
      </x:c>
      <x:c r="E20" s="26" t="n">
        <x:f>IFERROR(B20/C20-1,"")</x:f>
        <x:v>0.3836459994632859</x:v>
      </x:c>
      <x:c r="F20" s="27" t="str">
        <x:v>PDF p39</x:v>
      </x:c>
    </x:row>
    <x:row r="23" ht="22" customHeight="1">
      <x:c r="A23" s="36" t="str">
        <x:v>关联方应收款</x:v>
      </x:c>
      <x:c r="B23" s="36" t="str">
        <x:v>关联方应收款</x:v>
      </x:c>
      <x:c r="C23" s="36" t="str">
        <x:v>关联方应收款</x:v>
      </x:c>
      <x:c r="D23" s="36" t="str">
        <x:v>关联方应收款</x:v>
      </x:c>
      <x:c r="E23" s="36" t="str">
        <x:v>关联方应收款</x:v>
      </x:c>
      <x:c r="F23" s="36" t="str">
        <x:v>关联方应收款</x:v>
      </x:c>
    </x:row>
    <x:row r="24" ht="28" customHeight="1">
      <x:c r="A24" s="11" t="str">
        <x:v>项目</x:v>
      </x:c>
      <x:c r="B24" s="11" t="str">
        <x:v>2026-06-30</x:v>
      </x:c>
      <x:c r="C24" s="11" t="str">
        <x:v>2025-12-31</x:v>
      </x:c>
      <x:c r="D24" s="11" t="str">
        <x:v>变动额</x:v>
      </x:c>
      <x:c r="E24" s="11" t="str">
        <x:v>变动率</x:v>
      </x:c>
      <x:c r="F24" s="11" t="str">
        <x:v>来源</x:v>
      </x:c>
    </x:row>
    <x:row r="26">
      <x:c r="A26" t="str">
        <x:v>直接控股公司-贸易</x:v>
      </x:c>
      <x:c r="B26" s="12" t="n">
        <x:v>197</x:v>
      </x:c>
      <x:c r="C26" s="12" t="n">
        <x:v>1459</x:v>
      </x:c>
      <x:c r="D26" s="12" t="n">
        <x:f>IF(OR(B26="",C26=""),"",B26-C26)</x:f>
        <x:v>-1262</x:v>
      </x:c>
      <x:c r="E26" s="13" t="n">
        <x:f>IFERROR(B26/C26-1,"")</x:f>
        <x:v>-0.8649760109664153</x:v>
      </x:c>
      <x:c r="F26" s="15" t="str">
        <x:v>PDF p39</x:v>
      </x:c>
    </x:row>
    <x:row r="27">
      <x:c r="A27" t="str">
        <x:v>同系附属公司-贸易</x:v>
      </x:c>
      <x:c r="B27" s="12" t="n">
        <x:v>353894</x:v>
      </x:c>
      <x:c r="C27" s="12" t="n">
        <x:v>591740</x:v>
      </x:c>
      <x:c r="D27" s="12" t="n">
        <x:f>IF(OR(B27="",C27=""),"",B27-C27)</x:f>
        <x:v>-237846</x:v>
      </x:c>
      <x:c r="E27" s="13" t="n">
        <x:f>IFERROR(B27/C27-1,"")</x:f>
        <x:v>-0.40194342109710346</x:v>
      </x:c>
      <x:c r="F27" s="15" t="str">
        <x:v>PDF p39</x:v>
      </x:c>
    </x:row>
    <x:row r="28">
      <x:c r="A28" t="str">
        <x:v>同系附属公司-合同资产</x:v>
      </x:c>
      <x:c r="B28" s="12" t="n">
        <x:v>24296</x:v>
      </x:c>
      <x:c r="C28" s="12" t="n">
        <x:v>36440</x:v>
      </x:c>
      <x:c r="D28" s="12" t="n">
        <x:f>IF(OR(B28="",C28=""),"",B28-C28)</x:f>
        <x:v>-12144</x:v>
      </x:c>
      <x:c r="E28" s="13" t="n">
        <x:f>IFERROR(B28/C28-1,"")</x:f>
        <x:v>-0.3332601536772777</x:v>
      </x:c>
      <x:c r="F28" s="15" t="str">
        <x:v>PDF p39</x:v>
      </x:c>
    </x:row>
    <x:row r="29">
      <x:c r="A29" t="str">
        <x:v>同系附属公司-预付款</x:v>
      </x:c>
      <x:c r="B29" s="12" t="n">
        <x:v>1039</x:v>
      </x:c>
      <x:c r="C29" s="12" t="n">
        <x:v>3172</x:v>
      </x:c>
      <x:c r="D29" s="12" t="n">
        <x:f>IF(OR(B29="",C29=""),"",B29-C29)</x:f>
        <x:v>-2133</x:v>
      </x:c>
      <x:c r="E29" s="13" t="n">
        <x:f>IFERROR(B29/C29-1,"")</x:f>
        <x:v>-0.6724464060529634</x:v>
      </x:c>
      <x:c r="F29" s="15" t="str">
        <x:v>PDF p39</x:v>
      </x:c>
    </x:row>
    <x:row r="30">
      <x:c r="A30" t="str">
        <x:v>其他关联方-贸易</x:v>
      </x:c>
      <x:c r="B30" s="12" t="n">
        <x:v>77095</x:v>
      </x:c>
      <x:c r="C30" s="12" t="n">
        <x:v>84104</x:v>
      </x:c>
      <x:c r="D30" s="12" t="n">
        <x:f>IF(OR(B30="",C30=""),"",B30-C30)</x:f>
        <x:v>-7009</x:v>
      </x:c>
      <x:c r="E30" s="13" t="n">
        <x:f>IFERROR(B30/C30-1,"")</x:f>
        <x:v>-0.08333729668030054</x:v>
      </x:c>
      <x:c r="F30" s="15" t="str">
        <x:v>PDF p39</x:v>
      </x:c>
    </x:row>
    <x:row r="31">
      <x:c r="A31" t="str">
        <x:v>其他关联方-合同资产</x:v>
      </x:c>
      <x:c r="B31" s="12" t="n">
        <x:v>16039</x:v>
      </x:c>
      <x:c r="C31" s="12" t="n">
        <x:v>15120</x:v>
      </x:c>
      <x:c r="D31" s="12" t="n">
        <x:f>IF(OR(B31="",C31=""),"",B31-C31)</x:f>
        <x:v>919</x:v>
      </x:c>
      <x:c r="E31" s="13" t="n">
        <x:f>IFERROR(B31/C31-1,"")</x:f>
        <x:v>0.06078042328042321</x:v>
      </x:c>
      <x:c r="F31" s="15" t="str">
        <x:v>PDF p39</x:v>
      </x:c>
    </x:row>
    <x:row r="32">
      <x:c r="A32" t="str">
        <x:v>其他关联方-预付款</x:v>
      </x:c>
      <x:c r="B32" s="12" t="n">
        <x:v>18</x:v>
      </x:c>
      <x:c r="C32" s="12" t="n">
        <x:v>42</x:v>
      </x:c>
      <x:c r="D32" s="12" t="n">
        <x:f>IF(OR(B32="",C32=""),"",B32-C32)</x:f>
        <x:v>-24</x:v>
      </x:c>
      <x:c r="E32" s="13" t="n">
        <x:f>IFERROR(B32/C32-1,"")</x:f>
        <x:v>-0.5714285714285714</x:v>
      </x:c>
      <x:c r="F32" s="15" t="str">
        <x:v>PDF p39</x:v>
      </x:c>
    </x:row>
    <x:row r="33">
      <x:c r="A33" t="str">
        <x:v>其他关联方-非贸易</x:v>
      </x:c>
      <x:c r="B33" s="12" t="n">
        <x:v>75026</x:v>
      </x:c>
      <x:c r="C33" s="12" t="n">
        <x:v>75026</x:v>
      </x:c>
      <x:c r="D33" s="12" t="n">
        <x:f>IF(OR(B33="",C33=""),"",B33-C33)</x:f>
        <x:v>0</x:v>
      </x:c>
      <x:c r="E33" s="13" t="n">
        <x:f>IFERROR(B33/C33-1,"")</x:f>
        <x:v>0</x:v>
      </x:c>
      <x:c r="F33" s="15" t="str">
        <x:v>PDF p39</x:v>
      </x:c>
    </x:row>
    <x:row r="34">
      <x:c r="A34" s="24" t="str">
        <x:v>关联方应收款合计</x:v>
      </x:c>
      <x:c r="B34" s="25" t="n">
        <x:v>547604</x:v>
      </x:c>
      <x:c r="C34" s="25" t="n">
        <x:v>807103</x:v>
      </x:c>
      <x:c r="D34" s="25" t="n">
        <x:f>IF(OR(B34="",C34=""),"",B34-C34)</x:f>
        <x:v>-259499</x:v>
      </x:c>
      <x:c r="E34" s="26" t="n">
        <x:f>IFERROR(B34/C34-1,"")</x:f>
        <x:v>-0.3215190626227383</x:v>
      </x:c>
      <x:c r="F34" s="27" t="str">
        <x:v>PDF p39</x:v>
      </x:c>
    </x:row>
    <x:row r="37" ht="22" customHeight="1">
      <x:c r="A37" s="36" t="str">
        <x:v>贸易应付款账龄</x:v>
      </x:c>
      <x:c r="B37" s="36" t="str">
        <x:v>贸易应付款账龄</x:v>
      </x:c>
      <x:c r="C37" s="36" t="str">
        <x:v>贸易应付款账龄</x:v>
      </x:c>
      <x:c r="D37" s="36" t="str">
        <x:v>贸易应付款账龄</x:v>
      </x:c>
      <x:c r="E37" s="36" t="str">
        <x:v>贸易应付款账龄</x:v>
      </x:c>
      <x:c r="F37" s="36" t="str">
        <x:v>贸易应付款账龄</x:v>
      </x:c>
    </x:row>
    <x:row r="38" ht="28" customHeight="1">
      <x:c r="A38" s="11" t="str">
        <x:v>项目</x:v>
      </x:c>
      <x:c r="B38" s="11" t="str">
        <x:v>2026-06-30</x:v>
      </x:c>
      <x:c r="C38" s="11" t="str">
        <x:v>2025-12-31</x:v>
      </x:c>
      <x:c r="D38" s="11" t="str">
        <x:v>变动额</x:v>
      </x:c>
      <x:c r="E38" s="11" t="str">
        <x:v>变动率</x:v>
      </x:c>
      <x:c r="F38" s="11" t="str">
        <x:v>来源</x:v>
      </x:c>
    </x:row>
    <x:row r="40">
      <x:c r="A40" t="str">
        <x:v>1个月以内</x:v>
      </x:c>
      <x:c r="B40" s="12" t="n">
        <x:v>739969</x:v>
      </x:c>
      <x:c r="C40" s="12" t="n">
        <x:v>904142</x:v>
      </x:c>
      <x:c r="D40" s="12" t="n">
        <x:f>IF(OR(B40="",C40=""),"",B40-C40)</x:f>
        <x:v>-164173</x:v>
      </x:c>
      <x:c r="E40" s="13" t="n">
        <x:f>IFERROR(B40/C40-1,"")</x:f>
        <x:v>-0.18157877855469606</x:v>
      </x:c>
      <x:c r="F40" s="15" t="str">
        <x:v>PDF p40</x:v>
      </x:c>
    </x:row>
    <x:row r="41">
      <x:c r="A41" t="str">
        <x:v>1至3个月</x:v>
      </x:c>
      <x:c r="B41" s="12" t="n">
        <x:v>855972</x:v>
      </x:c>
      <x:c r="C41" s="12" t="n">
        <x:v>699238</x:v>
      </x:c>
      <x:c r="D41" s="12" t="n">
        <x:f>IF(OR(B41="",C41=""),"",B41-C41)</x:f>
        <x:v>156734</x:v>
      </x:c>
      <x:c r="E41" s="13" t="n">
        <x:f>IFERROR(B41/C41-1,"")</x:f>
        <x:v>0.22414971726364996</x:v>
      </x:c>
      <x:c r="F41" s="15" t="str">
        <x:v>PDF p40</x:v>
      </x:c>
    </x:row>
    <x:row r="42">
      <x:c r="A42" t="str">
        <x:v>4至12个月</x:v>
      </x:c>
      <x:c r="B42" s="12" t="n">
        <x:v>974511</x:v>
      </x:c>
      <x:c r="C42" s="12" t="n">
        <x:v>807429</x:v>
      </x:c>
      <x:c r="D42" s="12" t="n">
        <x:f>IF(OR(B42="",C42=""),"",B42-C42)</x:f>
        <x:v>167082</x:v>
      </x:c>
      <x:c r="E42" s="13" t="n">
        <x:f>IFERROR(B42/C42-1,"")</x:f>
        <x:v>0.20693088804092996</x:v>
      </x:c>
      <x:c r="F42" s="15" t="str">
        <x:v>PDF p40</x:v>
      </x:c>
    </x:row>
    <x:row r="43">
      <x:c r="A43" t="str">
        <x:v>1至2年</x:v>
      </x:c>
      <x:c r="B43" s="12" t="n">
        <x:v>203691</x:v>
      </x:c>
      <x:c r="C43" s="12" t="n">
        <x:v>161025</x:v>
      </x:c>
      <x:c r="D43" s="12" t="n">
        <x:f>IF(OR(B43="",C43=""),"",B43-C43)</x:f>
        <x:v>42666</x:v>
      </x:c>
      <x:c r="E43" s="13" t="n">
        <x:f>IFERROR(B43/C43-1,"")</x:f>
        <x:v>0.26496506753609683</x:v>
      </x:c>
      <x:c r="F43" s="15" t="str">
        <x:v>PDF p40</x:v>
      </x:c>
    </x:row>
    <x:row r="44">
      <x:c r="A44" t="str">
        <x:v>2年以上</x:v>
      </x:c>
      <x:c r="B44" s="12" t="n">
        <x:v>69897</x:v>
      </x:c>
      <x:c r="C44" s="12" t="n">
        <x:v>59227</x:v>
      </x:c>
      <x:c r="D44" s="12" t="n">
        <x:f>IF(OR(B44="",C44=""),"",B44-C44)</x:f>
        <x:v>10670</x:v>
      </x:c>
      <x:c r="E44" s="13" t="n">
        <x:f>IFERROR(B44/C44-1,"")</x:f>
        <x:v>0.1801543215087713</x:v>
      </x:c>
      <x:c r="F44" s="15" t="str">
        <x:v>PDF p40</x:v>
      </x:c>
    </x:row>
    <x:row r="45">
      <x:c r="A45" s="24" t="str">
        <x:v>贸易应付款合计</x:v>
      </x:c>
      <x:c r="B45" s="25" t="n">
        <x:v>2844040</x:v>
      </x:c>
      <x:c r="C45" s="25" t="n">
        <x:v>2631061</x:v>
      </x:c>
      <x:c r="D45" s="25" t="n">
        <x:f>IF(OR(B45="",C45=""),"",B45-C45)</x:f>
        <x:v>212979</x:v>
      </x:c>
      <x:c r="E45" s="26" t="n">
        <x:f>IFERROR(B45/C45-1,"")</x:f>
        <x:v>0.0809479521759473</x:v>
      </x:c>
      <x:c r="F45" s="27" t="str">
        <x:v>PDF p40</x:v>
      </x:c>
    </x:row>
    <x:row r="48" ht="22" customHeight="1">
      <x:c r="A48" s="36" t="str">
        <x:v>关联方应付款</x:v>
      </x:c>
      <x:c r="B48" s="36" t="str">
        <x:v>关联方应付款</x:v>
      </x:c>
      <x:c r="C48" s="36" t="str">
        <x:v>关联方应付款</x:v>
      </x:c>
      <x:c r="D48" s="36" t="str">
        <x:v>关联方应付款</x:v>
      </x:c>
      <x:c r="E48" s="36" t="str">
        <x:v>关联方应付款</x:v>
      </x:c>
      <x:c r="F48" s="36" t="str">
        <x:v>关联方应付款</x:v>
      </x:c>
    </x:row>
    <x:row r="49" ht="28" customHeight="1">
      <x:c r="A49" s="11" t="str">
        <x:v>项目</x:v>
      </x:c>
      <x:c r="B49" s="11" t="str">
        <x:v>2026-06-30</x:v>
      </x:c>
      <x:c r="C49" s="11" t="str">
        <x:v>2025-12-31</x:v>
      </x:c>
      <x:c r="D49" s="11" t="str">
        <x:v>变动额</x:v>
      </x:c>
      <x:c r="E49" s="11" t="str">
        <x:v>变动率</x:v>
      </x:c>
      <x:c r="F49" s="11" t="str">
        <x:v>来源</x:v>
      </x:c>
    </x:row>
    <x:row r="51">
      <x:c r="A51" t="str">
        <x:v>应付最终控股公司</x:v>
      </x:c>
      <x:c r="B51" s="12" t="n">
        <x:v>2120</x:v>
      </x:c>
      <x:c r="C51" s="12" t="n">
        <x:v>60</x:v>
      </x:c>
      <x:c r="D51" s="12" t="n">
        <x:f>IF(OR(B51="",C51=""),"",B51-C51)</x:f>
        <x:v>2060</x:v>
      </x:c>
      <x:c r="E51" s="13" t="n">
        <x:f>IFERROR(B51/C51-1,"")</x:f>
        <x:v>34.333333333333336</x:v>
      </x:c>
      <x:c r="F51" s="15" t="str">
        <x:v>PDF p41</x:v>
      </x:c>
    </x:row>
    <x:row r="52">
      <x:c r="A52" t="str">
        <x:v>应付同系附属公司</x:v>
      </x:c>
      <x:c r="B52" s="12" t="n">
        <x:v>83909</x:v>
      </x:c>
      <x:c r="C52" s="12" t="n">
        <x:v>55400</x:v>
      </x:c>
      <x:c r="D52" s="12" t="n">
        <x:f>IF(OR(B52="",C52=""),"",B52-C52)</x:f>
        <x:v>28509</x:v>
      </x:c>
      <x:c r="E52" s="13" t="n">
        <x:f>IFERROR(B52/C52-1,"")</x:f>
        <x:v>0.5146028880866427</x:v>
      </x:c>
      <x:c r="F52" s="15" t="str">
        <x:v>PDF p41</x:v>
      </x:c>
    </x:row>
    <x:row r="53">
      <x:c r="A53" t="str">
        <x:v>应付其他关联方</x:v>
      </x:c>
      <x:c r="B53" s="12" t="n">
        <x:v>19205</x:v>
      </x:c>
      <x:c r="C53" s="12" t="n">
        <x:v>21763</x:v>
      </x:c>
      <x:c r="D53" s="12" t="n">
        <x:f>IF(OR(B53="",C53=""),"",B53-C53)</x:f>
        <x:v>-2558</x:v>
      </x:c>
      <x:c r="E53" s="13" t="n">
        <x:f>IFERROR(B53/C53-1,"")</x:f>
        <x:v>-0.11753894224141892</x:v>
      </x:c>
      <x:c r="F53" s="15" t="str">
        <x:v>PDF p41</x:v>
      </x:c>
    </x:row>
    <x:row r="54">
      <x:c r="A54" s="24" t="str">
        <x:v>关联方应付款合计</x:v>
      </x:c>
      <x:c r="B54" s="25" t="n">
        <x:v>105234</x:v>
      </x:c>
      <x:c r="C54" s="25" t="n">
        <x:v>77223</x:v>
      </x:c>
      <x:c r="D54" s="25" t="n">
        <x:f>IF(OR(B54="",C54=""),"",B54-C54)</x:f>
        <x:v>28011</x:v>
      </x:c>
      <x:c r="E54" s="26" t="n">
        <x:f>IFERROR(B54/C54-1,"")</x:f>
        <x:v>0.36272872071792084</x:v>
      </x:c>
      <x:c r="F54" s="27" t="str">
        <x:v>PDF p41</x:v>
      </x:c>
    </x:row>
  </x:sheetData>
  <x:mergeCells>
    <x:mergeCell ref="A1:F1"/>
    <x:mergeCell ref="A2:F2"/>
    <x:mergeCell ref="A4:F4"/>
    <x:mergeCell ref="A12:F12"/>
    <x:mergeCell ref="A23:F23"/>
    <x:mergeCell ref="A37:F37"/>
    <x:mergeCell ref="A48:F48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17" hidden="0" customWidth="1"/>
    <x:col min="3" max="3" width="17" hidden="0" customWidth="1"/>
    <x:col min="4" max="4" width="17" hidden="0" customWidth="1"/>
    <x:col min="5" max="5" width="14" hidden="0" customWidth="1"/>
    <x:col min="6" max="6" width="21" hidden="0" customWidth="1"/>
    <x:col min="7" max="7" width="14" hidden="0" customWidth="1"/>
    <x:col min="8" max="8" width="38" hidden="0" customWidth="1"/>
  </x:cols>
  <x:sheetData>
    <x:row r="1" ht="30" customHeight="1">
      <x:c r="A1" s="3" t="str">
        <x:v>财务附注与其他重要披露</x:v>
      </x:c>
      <x:c r="B1" s="3" t="str">
        <x:v>财务附注与其他重要披露</x:v>
      </x:c>
      <x:c r="C1" s="3" t="str">
        <x:v>财务附注与其他重要披露</x:v>
      </x:c>
      <x:c r="D1" s="3" t="str">
        <x:v>财务附注与其他重要披露</x:v>
      </x:c>
      <x:c r="E1" s="3" t="str">
        <x:v>财务附注与其他重要披露</x:v>
      </x:c>
      <x:c r="F1" s="3" t="str">
        <x:v>财务附注与其他重要披露</x:v>
      </x:c>
      <x:c r="G1" s="3" t="str">
        <x:v>财务附注与其他重要披露</x:v>
      </x:c>
      <x:c r="H1" s="3" t="str">
        <x:v>财务附注与其他重要披露</x:v>
      </x:c>
    </x:row>
    <x:row r="2" ht="26" customHeight="1">
      <x:c r="A2" s="6" t="str">
        <x:v>金额默认人民币千元；如为百万元、每股、人数等，单位单列</x:v>
      </x:c>
      <x:c r="B2" s="6" t="str">
        <x:v>金额默认人民币千元；如为百万元、每股、人数等，单位单列</x:v>
      </x:c>
      <x:c r="C2" s="6" t="str">
        <x:v>金额默认人民币千元；如为百万元、每股、人数等，单位单列</x:v>
      </x:c>
      <x:c r="D2" s="6" t="str">
        <x:v>金额默认人民币千元；如为百万元、每股、人数等，单位单列</x:v>
      </x:c>
      <x:c r="E2" s="6" t="str">
        <x:v>金额默认人民币千元；如为百万元、每股、人数等，单位单列</x:v>
      </x:c>
      <x:c r="F2" s="6" t="str">
        <x:v>金额默认人民币千元；如为百万元、每股、人数等，单位单列</x:v>
      </x:c>
      <x:c r="G2" s="6" t="str">
        <x:v>金额默认人民币千元；如为百万元、每股、人数等，单位单列</x:v>
      </x:c>
      <x:c r="H2" s="6" t="str">
        <x:v>金额默认人民币千元；如为百万元、每股、人数等，单位单列</x:v>
      </x:c>
    </x:row>
    <x:row r="4" ht="22" customHeight="1">
      <x:c r="A4" s="36" t="str">
        <x:v>主要成本与税项</x:v>
      </x:c>
      <x:c r="B4" s="36" t="str">
        <x:v>主要成本与税项</x:v>
      </x:c>
      <x:c r="C4" s="36" t="str">
        <x:v>主要成本与税项</x:v>
      </x:c>
      <x:c r="D4" s="36" t="str">
        <x:v>主要成本与税项</x:v>
      </x:c>
      <x:c r="E4" s="36" t="str">
        <x:v>主要成本与税项</x:v>
      </x:c>
      <x:c r="F4" s="36" t="str">
        <x:v>主要成本与税项</x:v>
      </x:c>
      <x:c r="G4" s="36" t="str">
        <x:v>主要成本与税项</x:v>
      </x:c>
      <x:c r="H4" s="36" t="str">
        <x:v>主要成本与税项</x:v>
      </x:c>
    </x:row>
    <x:row r="5" ht="28" customHeight="1">
      <x:c r="A5" s="11" t="str">
        <x:v>项目</x:v>
      </x:c>
      <x:c r="B5" s="11" t="str">
        <x:v>2026H1/期末</x:v>
      </x:c>
      <x:c r="C5" s="11" t="str">
        <x:v>2025H1/期初</x:v>
      </x:c>
      <x:c r="D5" s="11" t="str">
        <x:v>变动额</x:v>
      </x:c>
      <x:c r="E5" s="11" t="str">
        <x:v>变动率</x:v>
      </x:c>
      <x:c r="F5" s="11" t="str">
        <x:v>单位</x:v>
      </x:c>
      <x:c r="G5" s="11" t="str">
        <x:v>来源</x:v>
      </x:c>
      <x:c r="H5" s="11" t="str">
        <x:v>备注</x:v>
      </x:c>
    </x:row>
    <x:row r="7">
      <x:c r="A7" t="str">
        <x:v>员工福利开支</x:v>
      </x:c>
      <x:c r="B7" s="37" t="n">
        <x:v>2085597</x:v>
      </x:c>
      <x:c r="C7" s="37" t="n">
        <x:v>2049278</x:v>
      </x:c>
      <x:c r="D7" s="37" t="n">
        <x:f>IF(OR(B7="",C7=""),"",B7-C7)</x:f>
        <x:v>36319</x:v>
      </x:c>
      <x:c r="E7" s="13" t="n">
        <x:f>IFERROR(B7/C7-1,"")</x:f>
        <x:v>0.01772282725916141</x:v>
      </x:c>
      <x:c r="F7" t="str">
        <x:v>人民币千元</x:v>
      </x:c>
      <x:c r="G7" s="15" t="str">
        <x:v>PDF p36</x:v>
      </x:c>
      <x:c r="H7" s="15" t="str"/>
    </x:row>
    <x:row r="8">
      <x:c r="A8" t="str">
        <x:v>分包成本</x:v>
      </x:c>
      <x:c r="B8" s="37" t="n">
        <x:v>3561500</x:v>
      </x:c>
      <x:c r="C8" s="37" t="n">
        <x:v>3099616</x:v>
      </x:c>
      <x:c r="D8" s="37" t="n">
        <x:f>IF(OR(B8="",C8=""),"",B8-C8)</x:f>
        <x:v>461884</x:v>
      </x:c>
      <x:c r="E8" s="13" t="n">
        <x:f>IFERROR(B8/C8-1,"")</x:f>
        <x:v>0.14901329713099942</x:v>
      </x:c>
      <x:c r="F8" t="str">
        <x:v>人民币千元</x:v>
      </x:c>
      <x:c r="G8" s="15" t="str">
        <x:v>PDF p36</x:v>
      </x:c>
      <x:c r="H8" s="15" t="str"/>
    </x:row>
    <x:row r="9">
      <x:c r="A9" t="str">
        <x:v>香港即期所得税</x:v>
      </x:c>
      <x:c r="B9" s="37" t="n">
        <x:v>3519</x:v>
      </x:c>
      <x:c r="C9" s="37" t="n">
        <x:v>3107</x:v>
      </x:c>
      <x:c r="D9" s="37" t="n">
        <x:f>IF(OR(B9="",C9=""),"",B9-C9)</x:f>
        <x:v>412</x:v>
      </x:c>
      <x:c r="E9" s="13" t="n">
        <x:f>IFERROR(B9/C9-1,"")</x:f>
        <x:v>0.13260379787576437</x:v>
      </x:c>
      <x:c r="F9" t="str">
        <x:v>人民币千元</x:v>
      </x:c>
      <x:c r="G9" s="15" t="str">
        <x:v>PDF p36</x:v>
      </x:c>
      <x:c r="H9" s="15" t="str"/>
    </x:row>
    <x:row r="10">
      <x:c r="A10" t="str">
        <x:v>澳门即期所得税</x:v>
      </x:c>
      <x:c r="B10" s="37" t="n">
        <x:v>770</x:v>
      </x:c>
      <x:c r="C10" s="37" t="n">
        <x:v>316</x:v>
      </x:c>
      <x:c r="D10" s="37" t="n">
        <x:f>IF(OR(B10="",C10=""),"",B10-C10)</x:f>
        <x:v>454</x:v>
      </x:c>
      <x:c r="E10" s="13" t="n">
        <x:f>IFERROR(B10/C10-1,"")</x:f>
        <x:v>1.4367088607594938</x:v>
      </x:c>
      <x:c r="F10" t="str">
        <x:v>人民币千元</x:v>
      </x:c>
      <x:c r="G10" s="15" t="str">
        <x:v>PDF p36</x:v>
      </x:c>
      <x:c r="H10" s="15" t="str"/>
    </x:row>
    <x:row r="11">
      <x:c r="A11" t="str">
        <x:v>中国内地即期所得税</x:v>
      </x:c>
      <x:c r="B11" s="37" t="n">
        <x:v>226887</x:v>
      </x:c>
      <x:c r="C11" s="37" t="n">
        <x:v>247969</x:v>
      </x:c>
      <x:c r="D11" s="37" t="n">
        <x:f>IF(OR(B11="",C11=""),"",B11-C11)</x:f>
        <x:v>-21082</x:v>
      </x:c>
      <x:c r="E11" s="13" t="n">
        <x:f>IFERROR(B11/C11-1,"")</x:f>
        <x:v>-0.08501869185261057</x:v>
      </x:c>
      <x:c r="F11" t="str">
        <x:v>人民币千元</x:v>
      </x:c>
      <x:c r="G11" s="15" t="str">
        <x:v>PDF p36</x:v>
      </x:c>
      <x:c r="H11" s="15" t="str"/>
    </x:row>
    <x:row r="12">
      <x:c r="A12" t="str">
        <x:v>预扣税</x:v>
      </x:c>
      <x:c r="B12" s="37" t="n">
        <x:v>14949</x:v>
      </x:c>
      <x:c r="C12" s="37" t="n">
        <x:v>24105</x:v>
      </x:c>
      <x:c r="D12" s="37" t="n">
        <x:f>IF(OR(B12="",C12=""),"",B12-C12)</x:f>
        <x:v>-9156</x:v>
      </x:c>
      <x:c r="E12" s="13" t="n">
        <x:f>IFERROR(B12/C12-1,"")</x:f>
        <x:v>-0.379838207840697</x:v>
      </x:c>
      <x:c r="F12" t="str">
        <x:v>人民币千元</x:v>
      </x:c>
      <x:c r="G12" s="15" t="str">
        <x:v>PDF p36</x:v>
      </x:c>
      <x:c r="H12" s="15" t="str"/>
    </x:row>
    <x:row r="13">
      <x:c r="A13" t="str">
        <x:v>递延税项</x:v>
      </x:c>
      <x:c r="B13" s="37" t="n">
        <x:v>-25508</x:v>
      </x:c>
      <x:c r="C13" s="37" t="n">
        <x:v>-18277</x:v>
      </x:c>
      <x:c r="D13" s="37" t="n">
        <x:f>IF(OR(B13="",C13=""),"",B13-C13)</x:f>
        <x:v>-7231</x:v>
      </x:c>
      <x:c r="E13" s="13" t="n">
        <x:f>IFERROR(B13/C13-1,"")</x:f>
        <x:v>0.39563385675986207</x:v>
      </x:c>
      <x:c r="F13" t="str">
        <x:v>人民币千元</x:v>
      </x:c>
      <x:c r="G13" s="15" t="str">
        <x:v>PDF p36</x:v>
      </x:c>
      <x:c r="H13" s="15" t="str"/>
    </x:row>
    <x:row r="14">
      <x:c r="A14" s="24" t="str">
        <x:v>所得税费用合计</x:v>
      </x:c>
      <x:c r="B14" s="40" t="n">
        <x:v>220617</x:v>
      </x:c>
      <x:c r="C14" s="40" t="n">
        <x:v>257220</x:v>
      </x:c>
      <x:c r="D14" s="40" t="n">
        <x:f>IF(OR(B14="",C14=""),"",B14-C14)</x:f>
        <x:v>-36603</x:v>
      </x:c>
      <x:c r="E14" s="26" t="n">
        <x:f>IFERROR(B14/C14-1,"")</x:f>
        <x:v>-0.14230230930720789</x:v>
      </x:c>
      <x:c r="F14" s="24" t="str">
        <x:v>人民币千元</x:v>
      </x:c>
      <x:c r="G14" s="27" t="str">
        <x:v>PDF p36</x:v>
      </x:c>
      <x:c r="H14" s="27" t="str"/>
    </x:row>
    <x:row r="17" ht="22" customHeight="1">
      <x:c r="A17" s="36" t="str">
        <x:v>股息、每股盈利与融资</x:v>
      </x:c>
      <x:c r="B17" s="36" t="str">
        <x:v>股息、每股盈利与融资</x:v>
      </x:c>
      <x:c r="C17" s="36" t="str">
        <x:v>股息、每股盈利与融资</x:v>
      </x:c>
      <x:c r="D17" s="36" t="str">
        <x:v>股息、每股盈利与融资</x:v>
      </x:c>
      <x:c r="E17" s="36" t="str">
        <x:v>股息、每股盈利与融资</x:v>
      </x:c>
      <x:c r="F17" s="36" t="str">
        <x:v>股息、每股盈利与融资</x:v>
      </x:c>
      <x:c r="G17" s="36" t="str">
        <x:v>股息、每股盈利与融资</x:v>
      </x:c>
      <x:c r="H17" s="36" t="str">
        <x:v>股息、每股盈利与融资</x:v>
      </x:c>
    </x:row>
    <x:row r="18" ht="28" customHeight="1">
      <x:c r="A18" s="11" t="str">
        <x:v>项目</x:v>
      </x:c>
      <x:c r="B18" s="11" t="str">
        <x:v>2026H1/期末</x:v>
      </x:c>
      <x:c r="C18" s="11" t="str">
        <x:v>2025H1/期初</x:v>
      </x:c>
      <x:c r="D18" s="11" t="str">
        <x:v>变动额</x:v>
      </x:c>
      <x:c r="E18" s="11" t="str">
        <x:v>变动率</x:v>
      </x:c>
      <x:c r="F18" s="11" t="str">
        <x:v>单位</x:v>
      </x:c>
      <x:c r="G18" s="11" t="str">
        <x:v>来源</x:v>
      </x:c>
      <x:c r="H18" s="11" t="str">
        <x:v>备注</x:v>
      </x:c>
    </x:row>
    <x:row r="20">
      <x:c r="A20" t="str">
        <x:v>加权平均普通股数</x:v>
      </x:c>
      <x:c r="B20" s="37" t="n">
        <x:v>3283960460</x:v>
      </x:c>
      <x:c r="C20" s="37" t="n">
        <x:v>3283960460</x:v>
      </x:c>
      <x:c r="D20" s="37" t="n">
        <x:f>IF(OR(B20="",C20=""),"",B20-C20)</x:f>
        <x:v>0</x:v>
      </x:c>
      <x:c r="E20" s="13" t="n">
        <x:f>IFERROR(B20/C20-1,"")</x:f>
        <x:v>0</x:v>
      </x:c>
      <x:c r="F20" t="str">
        <x:v>股</x:v>
      </x:c>
      <x:c r="G20" s="15" t="str">
        <x:v>PDF p37</x:v>
      </x:c>
      <x:c r="H20" s="15" t="str"/>
    </x:row>
    <x:row r="21">
      <x:c r="A21" t="str">
        <x:v>中期股息</x:v>
      </x:c>
      <x:c r="B21" s="37" t="n">
        <x:v>0.1</x:v>
      </x:c>
      <x:c r="C21" s="37" t="n">
        <x:v>0.09</x:v>
      </x:c>
      <x:c r="D21" s="37" t="n">
        <x:f>IF(OR(B21="",C21=""),"",B21-C21)</x:f>
        <x:v>0.010000000000000009</x:v>
      </x:c>
      <x:c r="E21" s="13" t="n">
        <x:f>IFERROR(B21/C21-1,"")</x:f>
        <x:v>0.11111111111111116</x:v>
      </x:c>
      <x:c r="F21" t="str">
        <x:v>港元/股</x:v>
      </x:c>
      <x:c r="G21" s="15" t="str">
        <x:v>PDF p37</x:v>
      </x:c>
      <x:c r="H21" s="15" t="str"/>
    </x:row>
    <x:row r="22">
      <x:c r="A22" t="str">
        <x:v>中期股息总额（约）</x:v>
      </x:c>
      <x:c r="B22" s="37" t="n">
        <x:v>282421</x:v>
      </x:c>
      <x:c r="C22" s="37" t="n">
        <x:v>300712</x:v>
      </x:c>
      <x:c r="D22" s="37" t="n">
        <x:f>IF(OR(B22="",C22=""),"",B22-C22)</x:f>
        <x:v>-18291</x:v>
      </x:c>
      <x:c r="E22" s="13" t="n">
        <x:f>IFERROR(B22/C22-1,"")</x:f>
        <x:v>-0.06082564047992767</x:v>
      </x:c>
      <x:c r="F22" t="str">
        <x:v>人民币千元</x:v>
      </x:c>
      <x:c r="G22" s="15" t="str">
        <x:v>PDF p37</x:v>
      </x:c>
      <x:c r="H22" s="15" t="str"/>
    </x:row>
    <x:row r="23">
      <x:c r="A23" t="str">
        <x:v>已付末期股息</x:v>
      </x:c>
      <x:c r="B23" s="37" t="n">
        <x:v>283274</x:v>
      </x:c>
      <x:c r="C23" s="37" t="n">
        <x:v>285708</x:v>
      </x:c>
      <x:c r="D23" s="37" t="n">
        <x:f>IF(OR(B23="",C23=""),"",B23-C23)</x:f>
        <x:v>-2434</x:v>
      </x:c>
      <x:c r="E23" s="13" t="n">
        <x:f>IFERROR(B23/C23-1,"")</x:f>
        <x:v>-0.00851918742212332</x:v>
      </x:c>
      <x:c r="F23" t="str">
        <x:v>人民币千元</x:v>
      </x:c>
      <x:c r="G23" s="15" t="str">
        <x:v>PDF p37</x:v>
      </x:c>
      <x:c r="H23" s="15" t="str">
        <x:v>2026年7月支付</x:v>
      </x:c>
    </x:row>
    <x:row r="24">
      <x:c r="A24" t="str">
        <x:v>银行借贷</x:v>
      </x:c>
      <x:c r="B24" s="37" t="n">
        <x:v>0</x:v>
      </x:c>
      <x:c r="C24" s="37" t="n">
        <x:v>50000</x:v>
      </x:c>
      <x:c r="D24" s="37" t="str">
        <x:f>IF(OR(B24="",C24=""),"",B24-C24)</x:f>
      </x:c>
      <x:c r="E24" s="13" t="n">
        <x:f>IFERROR(B24/C24-1,"")</x:f>
        <x:v>-1</x:v>
      </x:c>
      <x:c r="F24" t="str">
        <x:v>人民币千元</x:v>
      </x:c>
      <x:c r="G24" s="15" t="str">
        <x:v>PDF p27</x:v>
      </x:c>
      <x:c r="H24" s="15" t="str"/>
    </x:row>
    <x:row r="25">
      <x:c r="A25" t="str">
        <x:v>关联方短期贷款</x:v>
      </x:c>
      <x:c r="B25" s="37" t="n">
        <x:v>30438</x:v>
      </x:c>
      <x:c r="C25" s="37"/>
      <x:c r="D25" s="37" t="str">
        <x:f>IF(OR(B25="",C25=""),"",B25-C25)</x:f>
      </x:c>
      <x:c r="E25" s="13" t="str">
        <x:f>IFERROR(B25/C25-1,"")</x:f>
      </x:c>
      <x:c r="F25" t="str">
        <x:v>人民币千元</x:v>
      </x:c>
      <x:c r="G25" s="15" t="str">
        <x:v>PDF p23</x:v>
      </x:c>
      <x:c r="H25" s="15" t="str"/>
    </x:row>
    <x:row r="28" ht="22" customHeight="1">
      <x:c r="A28" s="36" t="str">
        <x:v>流动性、资本开支与承诺</x:v>
      </x:c>
      <x:c r="B28" s="36" t="str">
        <x:v>流动性、资本开支与承诺</x:v>
      </x:c>
      <x:c r="C28" s="36" t="str">
        <x:v>流动性、资本开支与承诺</x:v>
      </x:c>
      <x:c r="D28" s="36" t="str">
        <x:v>流动性、资本开支与承诺</x:v>
      </x:c>
      <x:c r="E28" s="36" t="str">
        <x:v>流动性、资本开支与承诺</x:v>
      </x:c>
      <x:c r="F28" s="36" t="str">
        <x:v>流动性、资本开支与承诺</x:v>
      </x:c>
      <x:c r="G28" s="36" t="str">
        <x:v>流动性、资本开支与承诺</x:v>
      </x:c>
      <x:c r="H28" s="36" t="str">
        <x:v>流动性、资本开支与承诺</x:v>
      </x:c>
    </x:row>
    <x:row r="29" ht="28" customHeight="1">
      <x:c r="A29" s="11" t="str">
        <x:v>项目</x:v>
      </x:c>
      <x:c r="B29" s="11" t="str">
        <x:v>2026H1/期末</x:v>
      </x:c>
      <x:c r="C29" s="11" t="str">
        <x:v>2025H1/期初</x:v>
      </x:c>
      <x:c r="D29" s="11" t="str">
        <x:v>变动额</x:v>
      </x:c>
      <x:c r="E29" s="11" t="str">
        <x:v>变动率</x:v>
      </x:c>
      <x:c r="F29" s="11" t="str">
        <x:v>单位</x:v>
      </x:c>
      <x:c r="G29" s="11" t="str">
        <x:v>来源</x:v>
      </x:c>
      <x:c r="H29" s="11" t="str">
        <x:v>备注</x:v>
      </x:c>
    </x:row>
    <x:row r="31">
      <x:c r="A31" t="str">
        <x:v>银行结余及现金</x:v>
      </x:c>
      <x:c r="B31" s="37" t="n">
        <x:v>5733.3</x:v>
      </x:c>
      <x:c r="C31" s="37" t="n">
        <x:v>6270.7</x:v>
      </x:c>
      <x:c r="D31" s="37" t="n">
        <x:f>IF(OR(B31="",C31=""),"",B31-C31)</x:f>
        <x:v>-537.3999999999996</x:v>
      </x:c>
      <x:c r="E31" s="13" t="n">
        <x:f>IFERROR(B31/C31-1,"")</x:f>
        <x:v>-0.08570016106654754</x:v>
      </x:c>
      <x:c r="F31" t="str">
        <x:v>人民币百万元</x:v>
      </x:c>
      <x:c r="G31" s="15" t="str">
        <x:v>PDF p22</x:v>
      </x:c>
      <x:c r="H31" s="15" t="str"/>
    </x:row>
    <x:row r="32">
      <x:c r="A32" t="str">
        <x:v>人民币资金占比</x:v>
      </x:c>
      <x:c r="B32" s="37" t="n">
        <x:v>0.916</x:v>
      </x:c>
      <x:c r="C32" s="37"/>
      <x:c r="D32" s="37" t="str">
        <x:f>IF(OR(B32="",C32=""),"",B32-C32)</x:f>
      </x:c>
      <x:c r="E32" s="13" t="str">
        <x:f>IFERROR(B32/C32-1,"")</x:f>
      </x:c>
      <x:c r="F32" t="str">
        <x:v>%</x:v>
      </x:c>
      <x:c r="G32" s="15" t="str">
        <x:v>PDF p22</x:v>
      </x:c>
      <x:c r="H32" s="15" t="str"/>
    </x:row>
    <x:row r="33">
      <x:c r="A33" t="str">
        <x:v>港元及澳门元资金占比</x:v>
      </x:c>
      <x:c r="B33" s="37" t="n">
        <x:v>0.084</x:v>
      </x:c>
      <x:c r="C33" s="37"/>
      <x:c r="D33" s="37" t="str">
        <x:f>IF(OR(B33="",C33=""),"",B33-C33)</x:f>
      </x:c>
      <x:c r="E33" s="13" t="str">
        <x:f>IFERROR(B33/C33-1,"")</x:f>
      </x:c>
      <x:c r="F33" t="str">
        <x:v>%</x:v>
      </x:c>
      <x:c r="G33" s="15" t="str">
        <x:v>PDF p22</x:v>
      </x:c>
      <x:c r="H33" s="15" t="str"/>
    </x:row>
    <x:row r="34">
      <x:c r="A34" t="str">
        <x:v>资本开支</x:v>
      </x:c>
      <x:c r="B34" s="37" t="n">
        <x:v>59.2</x:v>
      </x:c>
      <x:c r="C34" s="37"/>
      <x:c r="D34" s="37" t="str">
        <x:f>IF(OR(B34="",C34=""),"",B34-C34)</x:f>
      </x:c>
      <x:c r="E34" s="13" t="str">
        <x:f>IFERROR(B34/C34-1,"")</x:f>
      </x:c>
      <x:c r="F34" t="str">
        <x:v>人民币百万元</x:v>
      </x:c>
      <x:c r="G34" s="15" t="str">
        <x:v>PDF p23</x:v>
      </x:c>
      <x:c r="H34" s="15" t="str"/>
    </x:row>
    <x:row r="35">
      <x:c r="A35" t="str">
        <x:v>资本承担</x:v>
      </x:c>
      <x:c r="B35" s="37" t="n">
        <x:v>19.4</x:v>
      </x:c>
      <x:c r="C35" s="37"/>
      <x:c r="D35" s="37" t="str">
        <x:f>IF(OR(B35="",C35=""),"",B35-C35)</x:f>
      </x:c>
      <x:c r="E35" s="13" t="str">
        <x:f>IFERROR(B35/C35-1,"")</x:f>
      </x:c>
      <x:c r="F35" t="str">
        <x:v>人民币百万元</x:v>
      </x:c>
      <x:c r="G35" s="15" t="str">
        <x:v>PDF p23</x:v>
      </x:c>
      <x:c r="H35" s="15" t="str"/>
    </x:row>
    <x:row r="36">
      <x:c r="A36" t="str">
        <x:v>弥偿保证</x:v>
      </x:c>
      <x:c r="B36" s="37" t="n">
        <x:v>477.2</x:v>
      </x:c>
      <x:c r="C36" s="37"/>
      <x:c r="D36" s="37" t="str">
        <x:f>IF(OR(B36="",C36=""),"",B36-C36)</x:f>
      </x:c>
      <x:c r="E36" s="13" t="str">
        <x:f>IFERROR(B36/C36-1,"")</x:f>
      </x:c>
      <x:c r="F36" t="str">
        <x:v>人民币百万元</x:v>
      </x:c>
      <x:c r="G36" s="15" t="str">
        <x:v>PDF p23</x:v>
      </x:c>
      <x:c r="H36" s="15" t="str"/>
    </x:row>
    <x:row r="37">
      <x:c r="A37" t="str">
        <x:v>公司担保</x:v>
      </x:c>
      <x:c r="B37" s="37" t="n">
        <x:v>20</x:v>
      </x:c>
      <x:c r="C37" s="37"/>
      <x:c r="D37" s="37" t="str">
        <x:f>IF(OR(B37="",C37=""),"",B37-C37)</x:f>
      </x:c>
      <x:c r="E37" s="13" t="str">
        <x:f>IFERROR(B37/C37-1,"")</x:f>
      </x:c>
      <x:c r="F37" t="str">
        <x:v>人民币百万元</x:v>
      </x:c>
      <x:c r="G37" s="15" t="str">
        <x:v>PDF p23</x:v>
      </x:c>
      <x:c r="H37" s="15" t="str"/>
    </x:row>
    <x:row r="40" ht="22" customHeight="1">
      <x:c r="A40" s="36" t="str">
        <x:v>存货</x:v>
      </x:c>
      <x:c r="B40" s="36" t="str">
        <x:v>存货</x:v>
      </x:c>
      <x:c r="C40" s="36" t="str">
        <x:v>存货</x:v>
      </x:c>
      <x:c r="D40" s="36" t="str">
        <x:v>存货</x:v>
      </x:c>
      <x:c r="E40" s="36" t="str">
        <x:v>存货</x:v>
      </x:c>
      <x:c r="F40" s="36" t="str">
        <x:v>存货</x:v>
      </x:c>
      <x:c r="G40" s="36" t="str">
        <x:v>存货</x:v>
      </x:c>
      <x:c r="H40" s="36" t="str">
        <x:v>存货</x:v>
      </x:c>
    </x:row>
    <x:row r="41" ht="28" customHeight="1">
      <x:c r="A41" s="11" t="str">
        <x:v>项目</x:v>
      </x:c>
      <x:c r="B41" s="11" t="str">
        <x:v>2026H1/期末</x:v>
      </x:c>
      <x:c r="C41" s="11" t="str">
        <x:v>2025H1/期初</x:v>
      </x:c>
      <x:c r="D41" s="11" t="str">
        <x:v>变动额</x:v>
      </x:c>
      <x:c r="E41" s="11" t="str">
        <x:v>变动率</x:v>
      </x:c>
      <x:c r="F41" s="11" t="str">
        <x:v>单位</x:v>
      </x:c>
      <x:c r="G41" s="11" t="str">
        <x:v>来源</x:v>
      </x:c>
      <x:c r="H41" s="11" t="str">
        <x:v>备注</x:v>
      </x:c>
    </x:row>
    <x:row r="43">
      <x:c r="A43" t="str">
        <x:v>停车位</x:v>
      </x:c>
      <x:c r="B43" s="37" t="n">
        <x:v>607434</x:v>
      </x:c>
      <x:c r="C43" s="37" t="n">
        <x:v>622279</x:v>
      </x:c>
      <x:c r="D43" s="37" t="n">
        <x:f>IF(OR(B43="",C43=""),"",B43-C43)</x:f>
        <x:v>-14845</x:v>
      </x:c>
      <x:c r="E43" s="13" t="n">
        <x:f>IFERROR(B43/C43-1,"")</x:f>
        <x:v>-0.023855858867164126</x:v>
      </x:c>
      <x:c r="F43" t="str">
        <x:v>人民币千元</x:v>
      </x:c>
      <x:c r="G43" s="15" t="str">
        <x:v>PDF p38</x:v>
      </x:c>
      <x:c r="H43" s="15" t="str"/>
    </x:row>
    <x:row r="44">
      <x:c r="A44" t="str">
        <x:v>其他</x:v>
      </x:c>
      <x:c r="B44" s="37" t="n">
        <x:v>2502</x:v>
      </x:c>
      <x:c r="C44" s="37" t="n">
        <x:v>2616</x:v>
      </x:c>
      <x:c r="D44" s="37" t="n">
        <x:f>IF(OR(B44="",C44=""),"",B44-C44)</x:f>
        <x:v>-114</x:v>
      </x:c>
      <x:c r="E44" s="13" t="n">
        <x:f>IFERROR(B44/C44-1,"")</x:f>
        <x:v>-0.04357798165137616</x:v>
      </x:c>
      <x:c r="F44" t="str">
        <x:v>人民币千元</x:v>
      </x:c>
      <x:c r="G44" s="15" t="str">
        <x:v>PDF p38</x:v>
      </x:c>
      <x:c r="H44" s="15" t="str"/>
    </x:row>
    <x:row r="45">
      <x:c r="A45" s="24" t="str">
        <x:v>存货合计</x:v>
      </x:c>
      <x:c r="B45" s="40" t="n">
        <x:v>609936</x:v>
      </x:c>
      <x:c r="C45" s="40" t="n">
        <x:v>624895</x:v>
      </x:c>
      <x:c r="D45" s="40" t="n">
        <x:f>IF(OR(B45="",C45=""),"",B45-C45)</x:f>
        <x:v>-14959</x:v>
      </x:c>
      <x:c r="E45" s="26" t="n">
        <x:f>IFERROR(B45/C45-1,"")</x:f>
        <x:v>-0.02393842165483806</x:v>
      </x:c>
      <x:c r="F45" s="24" t="str">
        <x:v>人民币千元</x:v>
      </x:c>
      <x:c r="G45" s="27" t="str">
        <x:v>PDF p38</x:v>
      </x:c>
      <x:c r="H45" s="27" t="str"/>
    </x:row>
  </x:sheetData>
  <x:mergeCells>
    <x:mergeCell ref="A1:H1"/>
    <x:mergeCell ref="A2:H2"/>
    <x:mergeCell ref="A4:H4"/>
    <x:mergeCell ref="A17:H17"/>
    <x:mergeCell ref="A28:H28"/>
    <x:mergeCell ref="A40:H40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2" hidden="0" customWidth="1"/>
    <x:col min="2" max="2" width="18" hidden="0" customWidth="1"/>
    <x:col min="3" max="3" width="18" hidden="0" customWidth="1"/>
    <x:col min="4" max="4" width="16" hidden="0" customWidth="1"/>
    <x:col min="5" max="5" width="13" hidden="0" customWidth="1"/>
    <x:col min="6" max="6" width="12" hidden="0" customWidth="1"/>
    <x:col min="7" max="7" width="42" hidden="0" customWidth="1"/>
  </x:cols>
  <x:sheetData>
    <x:row r="1" ht="30" customHeight="1">
      <x:c r="A1" s="3" t="str">
        <x:v>数据完整性与勾稽校验</x:v>
      </x:c>
      <x:c r="B1" s="3" t="str">
        <x:v>数据完整性与勾稽校验</x:v>
      </x:c>
      <x:c r="C1" s="3" t="str">
        <x:v>数据完整性与勾稽校验</x:v>
      </x:c>
      <x:c r="D1" s="3" t="str">
        <x:v>数据完整性与勾稽校验</x:v>
      </x:c>
      <x:c r="E1" s="3" t="str">
        <x:v>数据完整性与勾稽校验</x:v>
      </x:c>
      <x:c r="F1" s="3" t="str">
        <x:v>数据完整性与勾稽校验</x:v>
      </x:c>
      <x:c r="G1" s="3" t="str">
        <x:v>数据完整性与勾稽校验</x:v>
      </x:c>
    </x:row>
    <x:row r="2" ht="26" customHeight="1">
      <x:c r="A2" s="6" t="str">
        <x:v>所有关键小计、资产负债表平衡及分部数据均以Excel公式复核；容差0.5千元</x:v>
      </x:c>
      <x:c r="B2" s="6" t="str">
        <x:v>所有关键小计、资产负债表平衡及分部数据均以Excel公式复核；容差0.5千元</x:v>
      </x:c>
      <x:c r="C2" s="6" t="str">
        <x:v>所有关键小计、资产负债表平衡及分部数据均以Excel公式复核；容差0.5千元</x:v>
      </x:c>
      <x:c r="D2" s="6" t="str">
        <x:v>所有关键小计、资产负债表平衡及分部数据均以Excel公式复核；容差0.5千元</x:v>
      </x:c>
      <x:c r="E2" s="6" t="str">
        <x:v>所有关键小计、资产负债表平衡及分部数据均以Excel公式复核；容差0.5千元</x:v>
      </x:c>
      <x:c r="F2" s="6" t="str">
        <x:v>所有关键小计、资产负债表平衡及分部数据均以Excel公式复核；容差0.5千元</x:v>
      </x:c>
      <x:c r="G2" s="6" t="str">
        <x:v>所有关键小计、资产负债表平衡及分部数据均以Excel公式复核；容差0.5千元</x:v>
      </x:c>
    </x:row>
    <x:row r="4">
      <x:c r="A4" s="42" t="str">
        <x:v>模型状态</x:v>
      </x:c>
      <x:c r="B4" s="42" t="str">
        <x:f>IF(COUNTIF(F7:F18,"FAIL")=0,"PASS","FAIL")</x:f>
        <x:v>PASS</x:v>
      </x:c>
    </x:row>
    <x:row r="6" ht="28" customHeight="1">
      <x:c r="A6" s="11" t="str">
        <x:v>校验项</x:v>
      </x:c>
      <x:c r="B6" s="11" t="str">
        <x:v>Actual</x:v>
      </x:c>
      <x:c r="C6" s="11" t="str">
        <x:v>Expected</x:v>
      </x:c>
      <x:c r="D6" s="11" t="str">
        <x:v>Difference</x:v>
      </x:c>
      <x:c r="E6" s="11" t="str">
        <x:v>Tolerance</x:v>
      </x:c>
      <x:c r="F6" s="11" t="str">
        <x:v>Status</x:v>
      </x:c>
      <x:c r="G6" s="11" t="str">
        <x:v>说明</x:v>
      </x:c>
    </x:row>
    <x:row r="7">
      <x:c r="A7" t="str">
        <x:v>收入：利润表=收入明细合计</x:v>
      </x:c>
      <x:c r="B7" s="52" t="n">
        <x:f>'01_利润表'!B7</x:f>
        <x:v>7484778</x:v>
      </x:c>
      <x:c r="C7" s="52" t="n">
        <x:f>'04_收入拆分'!B35</x:f>
        <x:v>7484778</x:v>
      </x:c>
      <x:c r="D7" s="37" t="n">
        <x:f>B7-C7</x:f>
        <x:v>0</x:v>
      </x:c>
      <x:c r="E7" s="37" t="n">
        <x:v>0.5</x:v>
      </x:c>
      <x:c r="F7" t="str">
        <x:f>IF(ABS(D7)&lt;=E7,"PASS","FAIL")</x:f>
        <x:v>PASS</x:v>
      </x:c>
      <x:c r="G7" t="str">
        <x:v>2025H1均为重列口径</x:v>
      </x:c>
    </x:row>
    <x:row r="8">
      <x:c r="A8" t="str">
        <x:v>毛利=收入+直接经营开支</x:v>
      </x:c>
      <x:c r="B8" s="52" t="n">
        <x:f>'01_利润表'!B9</x:f>
        <x:v>1113395</x:v>
      </x:c>
      <x:c r="C8" s="52" t="n">
        <x:f>'01_利润表'!B7+'01_利润表'!B8</x:f>
        <x:v>1113395</x:v>
      </x:c>
      <x:c r="D8" s="37" t="n">
        <x:f>B8-C8</x:f>
        <x:v>0</x:v>
      </x:c>
      <x:c r="E8" s="37" t="n">
        <x:v>0.5</x:v>
      </x:c>
      <x:c r="F8" t="str">
        <x:f>IF(ABS(D8)&lt;=E8,"PASS","FAIL")</x:f>
        <x:v>PASS</x:v>
      </x:c>
      <x:c r="G8" t="str"/>
    </x:row>
    <x:row r="9">
      <x:c r="A9" t="str">
        <x:v>分部收入合计=利润表收入</x:v>
      </x:c>
      <x:c r="B9" s="52" t="n">
        <x:f>'04_收入拆分'!B12</x:f>
        <x:v>7484778</x:v>
      </x:c>
      <x:c r="C9" s="52" t="n">
        <x:f>'01_利润表'!B7</x:f>
        <x:v>7484778</x:v>
      </x:c>
      <x:c r="D9" s="37" t="n">
        <x:f>B9-C9</x:f>
        <x:v>0</x:v>
      </x:c>
      <x:c r="E9" s="37" t="n">
        <x:v>0.5</x:v>
      </x:c>
      <x:c r="F9" t="str">
        <x:f>IF(ABS(D9)&lt;=E9,"PASS","FAIL")</x:f>
        <x:v>PASS</x:v>
      </x:c>
      <x:c r="G9" t="str"/>
    </x:row>
    <x:row r="10">
      <x:c r="A10" t="str">
        <x:v>税前利润=分部业绩+企业开支</x:v>
      </x:c>
      <x:c r="B10" s="52" t="n">
        <x:f>'04_收入拆分'!E14</x:f>
        <x:v>921945</x:v>
      </x:c>
      <x:c r="C10" s="52" t="n">
        <x:f>'04_收入拆分'!E12+'04_收入拆分'!E13</x:f>
        <x:v>921945</x:v>
      </x:c>
      <x:c r="D10" s="37" t="n">
        <x:f>B10-C10</x:f>
        <x:v>0</x:v>
      </x:c>
      <x:c r="E10" s="37" t="n">
        <x:v>0.5</x:v>
      </x:c>
      <x:c r="F10" t="str">
        <x:f>IF(ABS(D10)&lt;=E10,"PASS","FAIL")</x:f>
        <x:v>PASS</x:v>
      </x:c>
      <x:c r="G10" t="str">
        <x:v>分部业绩不是毛利</x:v>
      </x:c>
    </x:row>
    <x:row r="11">
      <x:c r="A11" t="str">
        <x:v>期内利润=归母+非控股</x:v>
      </x:c>
      <x:c r="B11" s="52" t="n">
        <x:f>'01_利润表'!B20</x:f>
        <x:v>701328</x:v>
      </x:c>
      <x:c r="C11" s="52" t="n">
        <x:f>'01_利润表'!B21+'01_利润表'!B22</x:f>
        <x:v>701328</x:v>
      </x:c>
      <x:c r="D11" s="37" t="n">
        <x:f>B11-C11</x:f>
        <x:v>0</x:v>
      </x:c>
      <x:c r="E11" s="37" t="n">
        <x:v>0.5</x:v>
      </x:c>
      <x:c r="F11" t="str">
        <x:f>IF(ABS(D11)&lt;=E11,"PASS","FAIL")</x:f>
        <x:v>PASS</x:v>
      </x:c>
      <x:c r="G11" t="str"/>
    </x:row>
    <x:row r="12">
      <x:c r="A12" t="str">
        <x:v>全面收益=利润+其他全面收益</x:v>
      </x:c>
      <x:c r="B12" s="52" t="n">
        <x:f>'03_全面收益'!B13</x:f>
        <x:v>665265</x:v>
      </x:c>
      <x:c r="C12" s="52" t="n">
        <x:f>'03_全面收益'!B7+'03_全面收益'!B12</x:f>
        <x:v>665265</x:v>
      </x:c>
      <x:c r="D12" s="37" t="n">
        <x:f>B12-C12</x:f>
        <x:v>0</x:v>
      </x:c>
      <x:c r="E12" s="37" t="n">
        <x:v>0.5</x:v>
      </x:c>
      <x:c r="F12" t="str">
        <x:f>IF(ABS(D12)&lt;=E12,"PASS","FAIL")</x:f>
        <x:v>PASS</x:v>
      </x:c>
      <x:c r="G12" t="str"/>
    </x:row>
    <x:row r="13">
      <x:c r="A13" t="str">
        <x:v>资产总额=流动+非流动</x:v>
      </x:c>
      <x:c r="B13" s="52" t="n">
        <x:f>'02_资产负债表'!B29</x:f>
        <x:v>13597284</x:v>
      </x:c>
      <x:c r="C13" s="52" t="n">
        <x:f>'02_资产负债表'!B28+'02_资产负债表'!B17</x:f>
        <x:v>13597284</x:v>
      </x:c>
      <x:c r="D13" s="37" t="n">
        <x:f>B13-C13</x:f>
        <x:v>0</x:v>
      </x:c>
      <x:c r="E13" s="37" t="n">
        <x:v>0.5</x:v>
      </x:c>
      <x:c r="F13" t="str">
        <x:f>IF(ABS(D13)&lt;=E13,"PASS","FAIL")</x:f>
        <x:v>PASS</x:v>
      </x:c>
      <x:c r="G13" t="str"/>
    </x:row>
    <x:row r="14">
      <x:c r="A14" t="str">
        <x:v>资产=负债+权益</x:v>
      </x:c>
      <x:c r="B14" s="52" t="n">
        <x:f>'02_资产负债表'!B29</x:f>
        <x:v>13597284</x:v>
      </x:c>
      <x:c r="C14" s="52" t="n">
        <x:f>'02_资产负债表'!B41+'02_资产负债表'!B47+'02_资产负债表'!B54</x:f>
        <x:v>13597284</x:v>
      </x:c>
      <x:c r="D14" s="37" t="n">
        <x:f>B14-C14</x:f>
        <x:v>0</x:v>
      </x:c>
      <x:c r="E14" s="37" t="n">
        <x:v>0.5</x:v>
      </x:c>
      <x:c r="F14" t="str">
        <x:f>IF(ABS(D14)&lt;=E14,"PASS","FAIL")</x:f>
        <x:v>PASS</x:v>
      </x:c>
      <x:c r="G14" t="str"/>
    </x:row>
    <x:row r="15">
      <x:c r="A15" t="str">
        <x:v>流动资产净额勾稽</x:v>
      </x:c>
      <x:c r="B15" s="52" t="n">
        <x:f>'02_资产负债表'!B42</x:f>
        <x:v>5575188</x:v>
      </x:c>
      <x:c r="C15" s="52" t="n">
        <x:f>'02_资产负债表'!B28-'02_资产负债表'!B41</x:f>
        <x:v>5575188</x:v>
      </x:c>
      <x:c r="D15" s="37" t="n">
        <x:f>B15-C15</x:f>
        <x:v>0</x:v>
      </x:c>
      <x:c r="E15" s="37" t="n">
        <x:v>0.5</x:v>
      </x:c>
      <x:c r="F15" t="str">
        <x:f>IF(ABS(D15)&lt;=E15,"PASS","FAIL")</x:f>
        <x:v>PASS</x:v>
      </x:c>
      <x:c r="G15" t="str"/>
    </x:row>
    <x:row r="16">
      <x:c r="A16" t="str">
        <x:v>贸易应收净额=总额-拨备</x:v>
      </x:c>
      <x:c r="B16" s="52" t="n">
        <x:f>'06_营运资本'!B9</x:f>
        <x:v>3980423</x:v>
      </x:c>
      <x:c r="C16" s="52" t="n">
        <x:f>'06_营运资本'!B7+'06_营运资本'!B8</x:f>
        <x:v>3980423</x:v>
      </x:c>
      <x:c r="D16" s="37" t="n">
        <x:f>B16-C16</x:f>
        <x:v>0</x:v>
      </x:c>
      <x:c r="E16" s="37" t="n">
        <x:v>0.5</x:v>
      </x:c>
      <x:c r="F16" t="str">
        <x:f>IF(ABS(D16)&lt;=E16,"PASS","FAIL")</x:f>
        <x:v>PASS</x:v>
      </x:c>
      <x:c r="G16" t="str"/>
    </x:row>
    <x:row r="17">
      <x:c r="A17" t="str">
        <x:v>贸易应收账龄合计=应收净额</x:v>
      </x:c>
      <x:c r="B17" s="52" t="n">
        <x:f>'06_营运资本'!B20</x:f>
        <x:v>3980423</x:v>
      </x:c>
      <x:c r="C17" s="52" t="n">
        <x:f>'06_营运资本'!B9</x:f>
        <x:v>3980423</x:v>
      </x:c>
      <x:c r="D17" s="37" t="n">
        <x:f>B17-C17</x:f>
        <x:v>0</x:v>
      </x:c>
      <x:c r="E17" s="37" t="n">
        <x:v>0.5</x:v>
      </x:c>
      <x:c r="F17" t="str">
        <x:f>IF(ABS(D17)&lt;=E17,"PASS","FAIL")</x:f>
        <x:v>PASS</x:v>
      </x:c>
      <x:c r="G17" t="str"/>
    </x:row>
    <x:row r="18">
      <x:c r="A18" t="str">
        <x:v>贸易应付账龄合计=资产负债表</x:v>
      </x:c>
      <x:c r="B18" s="52" t="n">
        <x:f>'06_营运资本'!B45</x:f>
        <x:v>2844040</x:v>
      </x:c>
      <x:c r="C18" s="52" t="n">
        <x:f>'02_资产负债表'!B31</x:f>
        <x:v>2844040</x:v>
      </x:c>
      <x:c r="D18" s="37" t="n">
        <x:f>B18-C18</x:f>
        <x:v>0</x:v>
      </x:c>
      <x:c r="E18" s="37" t="n">
        <x:v>0.5</x:v>
      </x:c>
      <x:c r="F18" t="str">
        <x:f>IF(ABS(D18)&lt;=E18,"PASS","FAIL")</x:f>
        <x:v>PASS</x:v>
      </x:c>
      <x:c r="G18" t="str"/>
    </x:row>
  </x:sheetData>
  <x:mergeCells>
    <x:mergeCell ref="A1:G1"/>
    <x:mergeCell ref="A2:G2"/>
  </x:mergeCells>
  <x:conditionalFormatting sqref="F7:F18">
    <x:cfRule type="containsText" dxfId="0" priority="1" operator="containsText" text="PASS"/>
    <x:cfRule type="containsText" dxfId="1" priority="2" operator="containsText" text="FAIL"/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66" hidden="0" customWidth="1"/>
    <x:col min="4" max="4" width="20" hidden="0" customWidth="1"/>
    <x:col min="5" max="5" width="30" hidden="0" customWidth="1"/>
    <x:col min="6" max="6" width="22" hidden="0" customWidth="1"/>
    <x:col min="7" max="7" width="40" hidden="0" customWidth="1"/>
  </x:cols>
  <x:sheetData>
    <x:row r="1" ht="30" customHeight="1">
      <x:c r="A1" s="3" t="str">
        <x:v>来源、口径与使用说明</x:v>
      </x:c>
      <x:c r="B1" s="3" t="str">
        <x:v>来源、口径与使用说明</x:v>
      </x:c>
      <x:c r="C1" s="3" t="str">
        <x:v>来源、口径与使用说明</x:v>
      </x:c>
      <x:c r="D1" s="3" t="str">
        <x:v>来源、口径与使用说明</x:v>
      </x:c>
      <x:c r="E1" s="3" t="str">
        <x:v>来源、口径与使用说明</x:v>
      </x:c>
      <x:c r="F1" s="3" t="str">
        <x:v>来源、口径与使用说明</x:v>
      </x:c>
      <x:c r="G1" s="3" t="str">
        <x:v>来源、口径与使用说明</x:v>
      </x:c>
    </x:row>
    <x:row r="2" ht="26" customHeight="1">
      <x:c r="A2" s="6" t="str">
        <x:v>本工作簿仅整理用户提供的业绩公告，未引入外部数据</x:v>
      </x:c>
      <x:c r="B2" s="6" t="str">
        <x:v>本工作簿仅整理用户提供的业绩公告，未引入外部数据</x:v>
      </x:c>
      <x:c r="C2" s="6" t="str">
        <x:v>本工作簿仅整理用户提供的业绩公告，未引入外部数据</x:v>
      </x:c>
      <x:c r="D2" s="6" t="str">
        <x:v>本工作簿仅整理用户提供的业绩公告，未引入外部数据</x:v>
      </x:c>
      <x:c r="E2" s="6" t="str">
        <x:v>本工作簿仅整理用户提供的业绩公告，未引入外部数据</x:v>
      </x:c>
      <x:c r="F2" s="6" t="str">
        <x:v>本工作簿仅整理用户提供的业绩公告，未引入外部数据</x:v>
      </x:c>
      <x:c r="G2" s="6" t="str">
        <x:v>本工作簿仅整理用户提供的业绩公告，未引入外部数据</x:v>
      </x:c>
    </x:row>
    <x:row r="5" ht="28" customHeight="1">
      <x:c r="A5" s="11" t="str">
        <x:v>类型</x:v>
      </x:c>
      <x:c r="B5" s="11" t="str">
        <x:v>项目</x:v>
      </x:c>
      <x:c r="C5" s="11" t="str">
        <x:v>内容/口径</x:v>
      </x:c>
      <x:c r="D5" s="11" t="str">
        <x:v>期间/时点</x:v>
      </x:c>
      <x:c r="E5" s="11" t="str">
        <x:v>来源文件</x:v>
      </x:c>
      <x:c r="F5" s="11" t="str">
        <x:v>参考</x:v>
      </x:c>
      <x:c r="G5" s="11" t="str">
        <x:v>备注</x:v>
      </x:c>
    </x:row>
    <x:row r="7" ht="42" customHeight="1">
      <x:c r="A7" s="54" t="str">
        <x:v>主来源</x:v>
      </x:c>
      <x:c r="B7" s="54" t="str">
        <x:v>业绩公告</x:v>
      </x:c>
      <x:c r="C7" s="54" t="str">
        <x:v>中海物业集团有限公司截至2026年6月30日止六个月未经审计中期业绩公告</x:v>
      </x:c>
      <x:c r="D7" s="54" t="str">
        <x:v>2026H1</x:v>
      </x:c>
      <x:c r="E7" s="55" t="str">
        <x:v>26H1-中海物业业绩.pdf</x:v>
      </x:c>
      <x:c r="F7" s="55" t="str">
        <x:v>p1-p45</x:v>
      </x:c>
      <x:c r="G7" s="54" t="str"/>
    </x:row>
    <x:row r="8" ht="42" customHeight="1">
      <x:c r="A8" s="54" t="str">
        <x:v>单位</x:v>
      </x:c>
      <x:c r="B8" s="54" t="str">
        <x:v>财务报表</x:v>
      </x:c>
      <x:c r="C8" s="54" t="str">
        <x:v>除特别标注外为人民币千元</x:v>
      </x:c>
      <x:c r="D8" s="54" t="str">
        <x:v>2026H1/2025H1</x:v>
      </x:c>
      <x:c r="E8" s="55" t="str">
        <x:v>26H1-中海物业业绩.pdf</x:v>
      </x:c>
      <x:c r="F8" s="55" t="str">
        <x:v>p25-p42</x:v>
      </x:c>
      <x:c r="G8" s="54" t="str"/>
    </x:row>
    <x:row r="9" ht="42" customHeight="1">
      <x:c r="A9" s="54" t="str">
        <x:v>重列</x:v>
      </x:c>
      <x:c r="B9" s="54" t="str">
        <x:v>2025H1比较数</x:v>
      </x:c>
      <x:c r="C9" s="54" t="str">
        <x:v>因同一控制下业务合并，利润表、全面收益及分部比较数已重列</x:v>
      </x:c>
      <x:c r="D9" s="54" t="str">
        <x:v>2025H1</x:v>
      </x:c>
      <x:c r="E9" s="55" t="str">
        <x:v>26H1-中海物业业绩.pdf</x:v>
      </x:c>
      <x:c r="F9" s="55" t="str">
        <x:v>p25-p26,p33-p35</x:v>
      </x:c>
      <x:c r="G9" s="54" t="str">
        <x:v>所有同比均使用重列数</x:v>
      </x:c>
    </x:row>
    <x:row r="10" ht="42" customHeight="1">
      <x:c r="A10" s="54" t="str">
        <x:v>对比口径</x:v>
      </x:c>
      <x:c r="B10" s="54" t="str">
        <x:v>资产负债表</x:v>
      </x:c>
      <x:c r="C10" s="54" t="str">
        <x:v>2026-06-30对2025-12-31</x:v>
      </x:c>
      <x:c r="D10" s="54" t="str">
        <x:v>时点</x:v>
      </x:c>
      <x:c r="E10" s="55" t="str">
        <x:v>26H1-中海物业业绩.pdf</x:v>
      </x:c>
      <x:c r="F10" s="55" t="str">
        <x:v>p27-p28,p38-p41</x:v>
      </x:c>
      <x:c r="G10" s="54" t="str"/>
    </x:row>
    <x:row r="11" ht="42" customHeight="1">
      <x:c r="A11" s="54" t="str">
        <x:v>定义</x:v>
      </x:c>
      <x:c r="B11" s="54" t="str">
        <x:v>分部业绩</x:v>
      </x:c>
      <x:c r="C11" s="54" t="str">
        <x:v>管理层考核各业务分部表现的口径，并非会计毛利；未分配企业开支后勾稽除税前利润</x:v>
      </x:c>
      <x:c r="D11" s="54" t="str">
        <x:v>2026H1</x:v>
      </x:c>
      <x:c r="E11" s="55" t="str">
        <x:v>26H1-中海物业业绩.pdf</x:v>
      </x:c>
      <x:c r="F11" s="55" t="str">
        <x:v>p33-p34</x:v>
      </x:c>
      <x:c r="G11" s="54" t="str"/>
    </x:row>
    <x:row r="12" ht="42" customHeight="1">
      <x:c r="A12" s="54" t="str">
        <x:v>限制</x:v>
      </x:c>
      <x:c r="B12" s="54" t="str">
        <x:v>现金流量表</x:v>
      </x:c>
      <x:c r="C12" s="54" t="str">
        <x:v>公告未列示完整合并现金流量表，仅整理管理层讨论披露的流动性与资本开支数据</x:v>
      </x:c>
      <x:c r="D12" s="54" t="str">
        <x:v>2026H1</x:v>
      </x:c>
      <x:c r="E12" s="55" t="str">
        <x:v>26H1-中海物业业绩.pdf</x:v>
      </x:c>
      <x:c r="F12" s="55" t="str">
        <x:v>p22-p23</x:v>
      </x:c>
      <x:c r="G12" s="54" t="str"/>
    </x:row>
    <x:row r="13" ht="42" customHeight="1">
      <x:c r="A13" s="54" t="str">
        <x:v>处理规则</x:v>
      </x:c>
      <x:c r="B13" s="54" t="str">
        <x:v>数值类型</x:v>
      </x:c>
      <x:c r="C13" s="54" t="str">
        <x:v>报告金额均以数值存储；同比、利润率、占比、勾稽差异均为Excel公式</x:v>
      </x:c>
      <x:c r="D13" s="54" t="str">
        <x:v>全工作簿</x:v>
      </x:c>
      <x:c r="E13" s="55" t="str">
        <x:v>26H1-中海物业业绩.pdf</x:v>
      </x:c>
      <x:c r="F13" s="55" t="str">
        <x:v>全表</x:v>
      </x:c>
      <x:c r="G13" s="54" t="str"/>
    </x:row>
    <x:row r="14" ht="42" customHeight="1">
      <x:c r="A14" s="54" t="str">
        <x:v>处理规则</x:v>
      </x:c>
      <x:c r="B14" s="54" t="str">
        <x:v>缺失数据</x:v>
      </x:c>
      <x:c r="C14" s="54" t="str">
        <x:v>不推断缺失值；留空并在备注说明</x:v>
      </x:c>
      <x:c r="D14" s="54" t="str">
        <x:v>全工作簿</x:v>
      </x:c>
      <x:c r="E14" s="55" t="str">
        <x:v>26H1-中海物业业绩.pdf</x:v>
      </x:c>
      <x:c r="F14" s="55" t="str">
        <x:v>全表</x:v>
      </x:c>
      <x:c r="G14" s="54" t="str"/>
    </x:row>
    <x:row r="15" ht="42" customHeight="1">
      <x:c r="A15" s="54" t="str">
        <x:v>使用说明</x:v>
      </x:c>
      <x:c r="B15" s="54" t="str">
        <x:v>颜色</x:v>
      </x:c>
      <x:c r="C15" s="54" t="str">
        <x:v>绿色字体为跨表引用；灰色为来源或口径说明</x:v>
      </x:c>
      <x:c r="D15" s="54" t="str">
        <x:v>全工作簿</x:v>
      </x:c>
      <x:c r="E15" s="55" t="str"/>
      <x:c r="F15" s="55" t="str"/>
      <x:c r="G15" s="54" t="str"/>
    </x:row>
  </x:sheetData>
  <x:mergeCells>
    <x:mergeCell ref="A1:G1"/>
    <x:mergeCell ref="A2:G2"/>
  </x:mergeCells>
  <x:pageMargins left="0.7" right="0.7" top="0.75" bottom="0.75" header="0.3" footer="0.3"/>
</x:worksheet>
</file>