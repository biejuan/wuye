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4智创生活\前瞻会&amp;业务战略\26H1对标\万物云\"/>
    </mc:Choice>
  </mc:AlternateContent>
  <xr:revisionPtr revIDLastSave="0" documentId="13_ncr:1_{F2CEC3CE-9BCD-4E59-9AA8-94E3E83DD8A0}" xr6:coauthVersionLast="47" xr6:coauthVersionMax="47" xr10:uidLastSave="{00000000-0000-0000-0000-000000000000}"/>
  <bookViews>
    <workbookView xWindow="-120" yWindow="-120" windowWidth="27135" windowHeight="16440" tabRatio="818" activeTab="7" xr2:uid="{00000000-000D-0000-FFFF-FFFF00000000}"/>
  </bookViews>
  <sheets>
    <sheet name="00_摘要" sheetId="1" r:id="rId1"/>
    <sheet name="01_利润表" sheetId="2" r:id="rId2"/>
    <sheet name="02_资产负债表" sheetId="3" r:id="rId3"/>
    <sheet name="03_全面收益" sheetId="4" r:id="rId4"/>
    <sheet name="04_收入与毛利" sheetId="5" r:id="rId5"/>
    <sheet name="05_核心利润" sheetId="6" r:id="rId6"/>
    <sheet name="06_经营指标" sheetId="7" r:id="rId7"/>
    <sheet name="07_营运资本" sheetId="8" r:id="rId8"/>
    <sheet name="08_其他附注" sheetId="9" r:id="rId9"/>
    <sheet name="09_校验" sheetId="10" r:id="rId10"/>
    <sheet name="10_来源与口径" sheetId="11" r:id="rId11"/>
  </sheets>
  <calcPr calcId="191029"/>
</workbook>
</file>

<file path=xl/calcChain.xml><?xml version="1.0" encoding="utf-8"?>
<calcChain xmlns="http://schemas.openxmlformats.org/spreadsheetml/2006/main">
  <c r="C47" i="8" l="1"/>
  <c r="C48" i="8"/>
  <c r="B48" i="8"/>
  <c r="B47" i="8"/>
  <c r="D47" i="8"/>
  <c r="E47" i="8"/>
  <c r="F47" i="8"/>
  <c r="D48" i="8"/>
  <c r="E48" i="8"/>
  <c r="F48" i="8"/>
  <c r="C21" i="5"/>
  <c r="D21" i="5"/>
  <c r="E21" i="5"/>
  <c r="F21" i="5"/>
  <c r="G21" i="5"/>
  <c r="H21" i="5"/>
  <c r="I21" i="5"/>
  <c r="J21" i="5"/>
  <c r="C22" i="5"/>
  <c r="D22" i="5"/>
  <c r="E22" i="5"/>
  <c r="F22" i="5"/>
  <c r="G22" i="5"/>
  <c r="H22" i="5"/>
  <c r="I22" i="5"/>
  <c r="J22" i="5"/>
  <c r="C23" i="5"/>
  <c r="D23" i="5"/>
  <c r="E23" i="5"/>
  <c r="F23" i="5"/>
  <c r="G23" i="5"/>
  <c r="H23" i="5"/>
  <c r="I23" i="5"/>
  <c r="J23" i="5"/>
  <c r="C24" i="5"/>
  <c r="D24" i="5"/>
  <c r="E24" i="5"/>
  <c r="F24" i="5"/>
  <c r="G24" i="5"/>
  <c r="H24" i="5"/>
  <c r="I24" i="5"/>
  <c r="J24" i="5"/>
  <c r="B24" i="5"/>
  <c r="B23" i="5"/>
  <c r="B22" i="5"/>
  <c r="B21" i="5"/>
  <c r="C20" i="10" l="1"/>
  <c r="B20" i="10"/>
  <c r="D20" i="10" s="1"/>
  <c r="F20" i="10" s="1"/>
  <c r="C19" i="10"/>
  <c r="B19" i="10"/>
  <c r="D19" i="10" s="1"/>
  <c r="F19" i="10" s="1"/>
  <c r="C18" i="10"/>
  <c r="B18" i="10"/>
  <c r="D18" i="10" s="1"/>
  <c r="F18" i="10" s="1"/>
  <c r="C17" i="10"/>
  <c r="B17" i="10"/>
  <c r="D17" i="10" s="1"/>
  <c r="F17" i="10" s="1"/>
  <c r="C16" i="10"/>
  <c r="B16" i="10"/>
  <c r="D16" i="10" s="1"/>
  <c r="F16" i="10" s="1"/>
  <c r="C15" i="10"/>
  <c r="B15" i="10"/>
  <c r="D15" i="10" s="1"/>
  <c r="F15" i="10" s="1"/>
  <c r="C14" i="10"/>
  <c r="C13" i="10"/>
  <c r="C12" i="10"/>
  <c r="B12" i="10"/>
  <c r="D12" i="10" s="1"/>
  <c r="F12" i="10" s="1"/>
  <c r="C11" i="10"/>
  <c r="B11" i="10"/>
  <c r="D11" i="10" s="1"/>
  <c r="F11" i="10" s="1"/>
  <c r="C10" i="10"/>
  <c r="B10" i="10"/>
  <c r="D10" i="10" s="1"/>
  <c r="F10" i="10" s="1"/>
  <c r="C9" i="10"/>
  <c r="B9" i="10"/>
  <c r="D9" i="10" s="1"/>
  <c r="F9" i="10" s="1"/>
  <c r="C8" i="10"/>
  <c r="B8" i="10"/>
  <c r="C7" i="10"/>
  <c r="B7" i="10"/>
  <c r="F69" i="9"/>
  <c r="E69" i="9"/>
  <c r="F68" i="9"/>
  <c r="E68" i="9"/>
  <c r="F67" i="9"/>
  <c r="E67" i="9"/>
  <c r="F66" i="9"/>
  <c r="E66" i="9"/>
  <c r="F65" i="9"/>
  <c r="E65" i="9"/>
  <c r="F64" i="9"/>
  <c r="E64" i="9"/>
  <c r="F63" i="9"/>
  <c r="E63" i="9"/>
  <c r="F62" i="9"/>
  <c r="E62" i="9"/>
  <c r="F61" i="9"/>
  <c r="E61" i="9"/>
  <c r="F60" i="9"/>
  <c r="E60" i="9"/>
  <c r="F43" i="9"/>
  <c r="E43" i="9"/>
  <c r="F42" i="9"/>
  <c r="E42" i="9"/>
  <c r="F41" i="9"/>
  <c r="E41" i="9"/>
  <c r="F40" i="9"/>
  <c r="E40" i="9"/>
  <c r="F39" i="9"/>
  <c r="E39" i="9"/>
  <c r="F38" i="9"/>
  <c r="E38" i="9"/>
  <c r="F37" i="9"/>
  <c r="E37" i="9"/>
  <c r="F36" i="9"/>
  <c r="E36" i="9"/>
  <c r="E30" i="9"/>
  <c r="D30" i="9"/>
  <c r="E29" i="9"/>
  <c r="D29" i="9"/>
  <c r="E28" i="9"/>
  <c r="D28" i="9"/>
  <c r="E27" i="9"/>
  <c r="D27" i="9"/>
  <c r="E26" i="9"/>
  <c r="D26" i="9"/>
  <c r="E25" i="9"/>
  <c r="D25" i="9"/>
  <c r="E24" i="9"/>
  <c r="D24" i="9"/>
  <c r="E23" i="9"/>
  <c r="D23" i="9"/>
  <c r="E22" i="9"/>
  <c r="D22" i="9"/>
  <c r="E21" i="9"/>
  <c r="D21" i="9"/>
  <c r="E15" i="9"/>
  <c r="D15" i="9"/>
  <c r="E14" i="9"/>
  <c r="D14" i="9"/>
  <c r="E13" i="9"/>
  <c r="D13" i="9"/>
  <c r="E12" i="9"/>
  <c r="D12" i="9"/>
  <c r="E11" i="9"/>
  <c r="D11" i="9"/>
  <c r="E10" i="9"/>
  <c r="D10" i="9"/>
  <c r="E9" i="9"/>
  <c r="D9" i="9"/>
  <c r="E8" i="9"/>
  <c r="D8" i="9"/>
  <c r="E7" i="9"/>
  <c r="D7" i="9"/>
  <c r="E45" i="8"/>
  <c r="D45" i="8"/>
  <c r="E44" i="8"/>
  <c r="D44" i="8"/>
  <c r="E43" i="8"/>
  <c r="D43" i="8"/>
  <c r="E42" i="8"/>
  <c r="D42" i="8"/>
  <c r="E41" i="8"/>
  <c r="D41" i="8"/>
  <c r="E40" i="8"/>
  <c r="D40" i="8"/>
  <c r="E39" i="8"/>
  <c r="D39" i="8"/>
  <c r="E38" i="8"/>
  <c r="D38" i="8"/>
  <c r="E22" i="8"/>
  <c r="D22" i="8"/>
  <c r="E21" i="8"/>
  <c r="D21" i="8"/>
  <c r="E20" i="8"/>
  <c r="D20" i="8"/>
  <c r="E19" i="8"/>
  <c r="D19" i="8"/>
  <c r="E18" i="8"/>
  <c r="D18" i="8"/>
  <c r="E12" i="8"/>
  <c r="D12" i="8"/>
  <c r="E11" i="8"/>
  <c r="D11" i="8"/>
  <c r="E10" i="8"/>
  <c r="D10" i="8"/>
  <c r="E9" i="8"/>
  <c r="D9" i="8"/>
  <c r="E8" i="8"/>
  <c r="D8" i="8"/>
  <c r="E7" i="8"/>
  <c r="D7" i="8"/>
  <c r="E30" i="7"/>
  <c r="E29" i="7"/>
  <c r="E28" i="7"/>
  <c r="E27" i="7"/>
  <c r="E26" i="7"/>
  <c r="E25" i="7"/>
  <c r="E24" i="7"/>
  <c r="E23" i="7"/>
  <c r="E22" i="7"/>
  <c r="E21" i="7"/>
  <c r="E20" i="7"/>
  <c r="E19" i="7"/>
  <c r="E18" i="7"/>
  <c r="E17" i="7"/>
  <c r="E16" i="7"/>
  <c r="E15" i="7"/>
  <c r="E14" i="7"/>
  <c r="E13" i="7"/>
  <c r="E12" i="7"/>
  <c r="E11" i="7"/>
  <c r="E10" i="7"/>
  <c r="E9" i="7"/>
  <c r="E8" i="7"/>
  <c r="E7" i="7"/>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30" i="5"/>
  <c r="D30" i="5"/>
  <c r="E29" i="5"/>
  <c r="D29" i="5"/>
  <c r="E28" i="5"/>
  <c r="D28" i="5"/>
  <c r="J19" i="5"/>
  <c r="I19" i="5"/>
  <c r="F19" i="5"/>
  <c r="E19" i="5"/>
  <c r="D19" i="5"/>
  <c r="J18" i="5"/>
  <c r="I18" i="5"/>
  <c r="F18" i="5"/>
  <c r="E18" i="5"/>
  <c r="D18" i="5"/>
  <c r="J17" i="5"/>
  <c r="I17" i="5"/>
  <c r="F17" i="5"/>
  <c r="E17" i="5"/>
  <c r="D17" i="5"/>
  <c r="J16" i="5"/>
  <c r="I16" i="5"/>
  <c r="F16" i="5"/>
  <c r="E16" i="5"/>
  <c r="D16" i="5"/>
  <c r="J15" i="5"/>
  <c r="I15" i="5"/>
  <c r="F15" i="5"/>
  <c r="E15" i="5"/>
  <c r="D15" i="5"/>
  <c r="J14" i="5"/>
  <c r="I14" i="5"/>
  <c r="F14" i="5"/>
  <c r="E14" i="5"/>
  <c r="D14" i="5"/>
  <c r="J13" i="5"/>
  <c r="I13" i="5"/>
  <c r="F13" i="5"/>
  <c r="E13" i="5"/>
  <c r="D13" i="5"/>
  <c r="J12" i="5"/>
  <c r="I12" i="5"/>
  <c r="F12" i="5"/>
  <c r="E12" i="5"/>
  <c r="D12" i="5"/>
  <c r="J11" i="5"/>
  <c r="I11" i="5"/>
  <c r="F11" i="5"/>
  <c r="E11" i="5"/>
  <c r="D11" i="5"/>
  <c r="J10" i="5"/>
  <c r="I10" i="5"/>
  <c r="F10" i="5"/>
  <c r="E10" i="5"/>
  <c r="D10" i="5"/>
  <c r="J9" i="5"/>
  <c r="I9" i="5"/>
  <c r="F9" i="5"/>
  <c r="E9" i="5"/>
  <c r="D9" i="5"/>
  <c r="J8" i="5"/>
  <c r="I8" i="5"/>
  <c r="F8" i="5"/>
  <c r="E8" i="5"/>
  <c r="D8" i="5"/>
  <c r="E14" i="4"/>
  <c r="D14" i="4"/>
  <c r="E13" i="4"/>
  <c r="D13" i="4"/>
  <c r="E12" i="4"/>
  <c r="D12" i="4"/>
  <c r="E11" i="4"/>
  <c r="D11" i="4"/>
  <c r="E10" i="4"/>
  <c r="D10" i="4"/>
  <c r="E9" i="4"/>
  <c r="D9" i="4"/>
  <c r="E8" i="4"/>
  <c r="D8" i="4"/>
  <c r="E7" i="4"/>
  <c r="D7" i="4"/>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D25" i="3"/>
  <c r="C25" i="3"/>
  <c r="B25" i="3"/>
  <c r="B14" i="10" s="1"/>
  <c r="D14" i="10" s="1"/>
  <c r="F14" i="10" s="1"/>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C27" i="1"/>
  <c r="B27" i="1"/>
  <c r="C26" i="1"/>
  <c r="B26" i="1"/>
  <c r="C25" i="1"/>
  <c r="B25" i="1"/>
  <c r="C24" i="1"/>
  <c r="B24" i="1"/>
  <c r="D19" i="1"/>
  <c r="C19" i="1"/>
  <c r="B19" i="1"/>
  <c r="E19" i="1" s="1"/>
  <c r="C18" i="1"/>
  <c r="B18" i="1"/>
  <c r="D18" i="1" s="1"/>
  <c r="E17" i="1"/>
  <c r="D17" i="1"/>
  <c r="C17" i="1"/>
  <c r="B17" i="1"/>
  <c r="E16" i="1"/>
  <c r="D16" i="1"/>
  <c r="C15" i="1"/>
  <c r="B15" i="1"/>
  <c r="E15" i="1" s="1"/>
  <c r="C14" i="1"/>
  <c r="D14" i="1" s="1"/>
  <c r="B14" i="1"/>
  <c r="E14" i="1" s="1"/>
  <c r="E13" i="1"/>
  <c r="D13" i="1"/>
  <c r="D12" i="1"/>
  <c r="C12" i="1"/>
  <c r="B12" i="1"/>
  <c r="E12" i="1" s="1"/>
  <c r="C11" i="1"/>
  <c r="B11" i="1"/>
  <c r="D11" i="1" s="1"/>
  <c r="E10" i="1"/>
  <c r="D10" i="1"/>
  <c r="C10" i="1"/>
  <c r="B10" i="1"/>
  <c r="D9" i="1"/>
  <c r="C9" i="1"/>
  <c r="B9" i="1"/>
  <c r="E9" i="1" s="1"/>
  <c r="C8" i="1"/>
  <c r="B8" i="1"/>
  <c r="D8" i="1" s="1"/>
  <c r="D8" i="10" l="1"/>
  <c r="F8" i="10" s="1"/>
  <c r="D7" i="10"/>
  <c r="F7" i="10" s="1"/>
  <c r="B4" i="10"/>
  <c r="E8" i="1"/>
  <c r="E11" i="1"/>
  <c r="E18" i="1"/>
  <c r="B13" i="10"/>
  <c r="D13" i="10" s="1"/>
  <c r="F13" i="10" s="1"/>
  <c r="D15" i="1"/>
  <c r="E2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tc={EF23917E-65FE-61E8-AF53-6E50373F4193}</author>
  </authors>
  <commentList>
    <comment ref="B8" authorId="0" shapeId="0" xr:uid="{00000000-0006-0000-01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来源：26H1-万物云业绩.pdf | 第3页 | 收入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tc={9FD81D72-ABC0-A88A-C13D-627F6B63B4E8}</author>
  </authors>
  <commentList>
    <comment ref="B23" authorId="0" shapeId="0" xr:uid="{00000000-0006-0000-02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来源：26H1-万物云业绩.pdf | 第5页 | 现金及现金等价物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tc={E5B5046F-D559-2505-1B1F-D2EE7E5FBEAF}</author>
  </authors>
  <commentList>
    <comment ref="B19" authorId="0" shapeId="0" xr:uid="{00000000-0006-0000-04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来源：26H1-万物云业绩.pdf | 第26页 | 分业务收入合计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tc={41A9B1BF-2C06-F39F-1825-B4CB62EE03A8}</author>
  </authors>
  <commentList>
    <comment ref="B33" authorId="0" shapeId="0" xr:uid="{00000000-0006-0000-05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来源：26H1-万物云业绩.pdf | 第29页 | 剔除所有开发商业务后的核心净利润</t>
        </r>
      </text>
    </comment>
  </commentList>
</comments>
</file>

<file path=xl/sharedStrings.xml><?xml version="1.0" encoding="utf-8"?>
<sst xmlns="http://schemas.openxmlformats.org/spreadsheetml/2006/main" count="966" uniqueCount="382">
  <si>
    <t>万物云2026年上半年财务数据库</t>
  </si>
  <si>
    <t>截至2026年6月30日止六个月 | 未经审计 | 币种：人民币 | 报告金额默认单位：人民币千元</t>
  </si>
  <si>
    <t>工作簿状态</t>
  </si>
  <si>
    <t>PASS（见 09_校验）</t>
  </si>
  <si>
    <t>口径：2026H1对2025H1；资产负债表对2025年末；所有派生指标均为Excel公式。</t>
  </si>
  <si>
    <t>核心财务指标</t>
  </si>
  <si>
    <t>指标</t>
  </si>
  <si>
    <t>2026H1</t>
  </si>
  <si>
    <t>2025H1/期初</t>
  </si>
  <si>
    <t>变动</t>
  </si>
  <si>
    <t>变动率</t>
  </si>
  <si>
    <t>单位</t>
  </si>
  <si>
    <t>来源</t>
  </si>
  <si>
    <t>备注</t>
  </si>
  <si>
    <t>营业收入</t>
  </si>
  <si>
    <t>人民币千元</t>
  </si>
  <si>
    <t>PDF p3</t>
  </si>
  <si>
    <t>毛利</t>
  </si>
  <si>
    <t>毛利率</t>
  </si>
  <si>
    <t>%</t>
  </si>
  <si>
    <t>计算</t>
  </si>
  <si>
    <t>毛利/收入</t>
  </si>
  <si>
    <t>期内利润</t>
  </si>
  <si>
    <t>归母净利润</t>
  </si>
  <si>
    <t>核心净利润</t>
  </si>
  <si>
    <t>PDF p1/p36</t>
  </si>
  <si>
    <t>报告摘要的百万元口径换算</t>
  </si>
  <si>
    <t>剔除开发商业务后核心净利润</t>
  </si>
  <si>
    <t>PDF p29</t>
  </si>
  <si>
    <t>现金及现金等价物</t>
  </si>
  <si>
    <t>PDF p5</t>
  </si>
  <si>
    <t>期末对2025年末</t>
  </si>
  <si>
    <t>货币资金</t>
  </si>
  <si>
    <t>PDF p1</t>
  </si>
  <si>
    <t>含受限银行存款及定期存款</t>
  </si>
  <si>
    <t>贸易应收款项及应收保证金（净额）</t>
  </si>
  <si>
    <t>PDF p14</t>
  </si>
  <si>
    <t>流动比率</t>
  </si>
  <si>
    <t>倍</t>
  </si>
  <si>
    <t>流动资产/流动负债</t>
  </si>
  <si>
    <t>资产负债率</t>
  </si>
  <si>
    <t>负债合计/资产合计</t>
  </si>
  <si>
    <t>业务收入与毛利结构</t>
  </si>
  <si>
    <t>业务板块</t>
  </si>
  <si>
    <t>2025H1</t>
  </si>
  <si>
    <t>社区空间居住消费服务</t>
  </si>
  <si>
    <t>商企和城市空间综合服务</t>
  </si>
  <si>
    <t>AIoT及BPaaS解决方案服务</t>
  </si>
  <si>
    <t>合计</t>
  </si>
  <si>
    <t>中期简明合并利润表</t>
  </si>
  <si>
    <t>截至2026年6月30日止六个月 | 人民币千元</t>
  </si>
  <si>
    <t>项目</t>
  </si>
  <si>
    <t>变动额</t>
  </si>
  <si>
    <t>收入</t>
  </si>
  <si>
    <t>销售成本</t>
  </si>
  <si>
    <t>其他收入及收益净额</t>
  </si>
  <si>
    <t>销售及分销开支</t>
  </si>
  <si>
    <t>行政开支</t>
  </si>
  <si>
    <t>金融资产减值亏损净额</t>
  </si>
  <si>
    <t>财务成本</t>
  </si>
  <si>
    <t>应占合营企业及联营公司利润及亏损</t>
  </si>
  <si>
    <t>税前利润</t>
  </si>
  <si>
    <t>所得税开支</t>
  </si>
  <si>
    <t>归属于本公司股东</t>
  </si>
  <si>
    <t>非控股权益</t>
  </si>
  <si>
    <t>归属合计</t>
  </si>
  <si>
    <t>每股基本及摊薄盈利（人民币元）</t>
  </si>
  <si>
    <t>PDF p3/p12</t>
  </si>
  <si>
    <t>中期简明合并财务状况表</t>
  </si>
  <si>
    <t>期末：2026年6月30日（未经审计） | 对比：2025年12月31日（经审计） | 人民币千元</t>
  </si>
  <si>
    <t>2026-06-30</t>
  </si>
  <si>
    <t>2025-12-31</t>
  </si>
  <si>
    <t>非流动资产</t>
  </si>
  <si>
    <t>物业、厂房及设备</t>
  </si>
  <si>
    <t>投资性物业</t>
  </si>
  <si>
    <t>使用权资产</t>
  </si>
  <si>
    <t>无形资产</t>
  </si>
  <si>
    <t>于合营企业及联营公司的投资</t>
  </si>
  <si>
    <t>FVOCI股权投资</t>
  </si>
  <si>
    <t>递延税项资产</t>
  </si>
  <si>
    <t>预付款项、按金及其他应收款项（非流动）</t>
  </si>
  <si>
    <t>非流动资产总额</t>
  </si>
  <si>
    <t>流动资产</t>
  </si>
  <si>
    <t>存货</t>
  </si>
  <si>
    <t>贸易应收款项及应收保证金</t>
  </si>
  <si>
    <t>预付款项、按金及其他应收款项（流动）</t>
  </si>
  <si>
    <t>受限制银行存款</t>
  </si>
  <si>
    <t>原到期日超过三个月的定期存款</t>
  </si>
  <si>
    <t>流动资产总额</t>
  </si>
  <si>
    <t>资产总额（计算）</t>
  </si>
  <si>
    <t>流动负债</t>
  </si>
  <si>
    <t>贸易应付款项及应付票据</t>
  </si>
  <si>
    <t>合同负债</t>
  </si>
  <si>
    <t>其他应付款项及应计项目（流动）</t>
  </si>
  <si>
    <t>租赁负债（流动）</t>
  </si>
  <si>
    <t>应纳税项</t>
  </si>
  <si>
    <t>流动负债总额</t>
  </si>
  <si>
    <t>流动资产净额</t>
  </si>
  <si>
    <t>资产总额减流动负债</t>
  </si>
  <si>
    <t>非流动负债</t>
  </si>
  <si>
    <t>其他应付款项及应计项目（非流动）</t>
  </si>
  <si>
    <t>PDF p6</t>
  </si>
  <si>
    <t>拨备</t>
  </si>
  <si>
    <t>租赁负债（非流动）</t>
  </si>
  <si>
    <t>递延税项负债</t>
  </si>
  <si>
    <t>非流动负债总额</t>
  </si>
  <si>
    <t>资产净额</t>
  </si>
  <si>
    <t>权益</t>
  </si>
  <si>
    <t>股本</t>
  </si>
  <si>
    <t>储备</t>
  </si>
  <si>
    <t>本公司股东应占权益</t>
  </si>
  <si>
    <t>权益总额</t>
  </si>
  <si>
    <t>中期简明合并全面收益表</t>
  </si>
  <si>
    <t>PDF p4</t>
  </si>
  <si>
    <t>换算海外业务的汇兑差额</t>
  </si>
  <si>
    <t>FVOCI股权投资公允价值变动</t>
  </si>
  <si>
    <t>期内其他全面亏损，扣除税项</t>
  </si>
  <si>
    <t>期内全面收益总额</t>
  </si>
  <si>
    <t>归属于非控股权益</t>
  </si>
  <si>
    <t>分业务收入与毛利</t>
  </si>
  <si>
    <t>截至2026年6月30日止六个月 | 人民币千元 | 收入占比、毛利率和增长率均为公式</t>
  </si>
  <si>
    <t>业务板块/服务</t>
  </si>
  <si>
    <t>2026收入</t>
  </si>
  <si>
    <t>2025收入</t>
  </si>
  <si>
    <t>2026占比</t>
  </si>
  <si>
    <t>2025占比</t>
  </si>
  <si>
    <t>收入增长</t>
  </si>
  <si>
    <t>2026毛利</t>
  </si>
  <si>
    <t>2025毛利</t>
  </si>
  <si>
    <t>2026毛利率</t>
  </si>
  <si>
    <t>2025毛利率</t>
  </si>
  <si>
    <t>住宅物业服务</t>
  </si>
  <si>
    <t>居住相关资产服务</t>
  </si>
  <si>
    <t>其他社区增值服务</t>
  </si>
  <si>
    <t>物业及设施管理服务</t>
  </si>
  <si>
    <t>开发商增值服务</t>
  </si>
  <si>
    <t>城市空间整合服务</t>
  </si>
  <si>
    <t>AIoT解决方案</t>
  </si>
  <si>
    <t>BPaaS解决方案</t>
  </si>
  <si>
    <t>收入确认时间</t>
  </si>
  <si>
    <t>类别</t>
  </si>
  <si>
    <t>于某一时间点转移的商品或服务</t>
  </si>
  <si>
    <t>PDF p9</t>
  </si>
  <si>
    <t>随时间转移的服务</t>
  </si>
  <si>
    <t>客户合约收入总额</t>
  </si>
  <si>
    <t>剔除开发商业务后的经营桥接</t>
  </si>
  <si>
    <t>分类/项目</t>
  </si>
  <si>
    <t>收入 - 循环型业务</t>
  </si>
  <si>
    <t>PDF p28</t>
  </si>
  <si>
    <t>收入 - 循环型业务小计</t>
  </si>
  <si>
    <t>收入 - 其他核心业务</t>
  </si>
  <si>
    <t>收入 - 核心业务小计</t>
  </si>
  <si>
    <t>收入 - 其他业务</t>
  </si>
  <si>
    <t>收入 - 其他业务小计</t>
  </si>
  <si>
    <t>剔除所有开发商业务后收入</t>
  </si>
  <si>
    <t>毛利 - 循环型业务</t>
  </si>
  <si>
    <t>毛利 - 核心业务</t>
  </si>
  <si>
    <t>毛利 - 其他业务</t>
  </si>
  <si>
    <t>剔除所有开发商业务后毛利</t>
  </si>
  <si>
    <t>其他支出</t>
  </si>
  <si>
    <t>剔除所有开发商业务后的期内利润</t>
  </si>
  <si>
    <t>客户关系摊销及相关所得税</t>
  </si>
  <si>
    <t>非经常性事项及相关所得税</t>
  </si>
  <si>
    <t>非控股权益的期内利润</t>
  </si>
  <si>
    <t>剔除所有开发商业务后的核心净利润</t>
  </si>
  <si>
    <t>经营与业务规模指标</t>
  </si>
  <si>
    <t>报告披露的经营数据；不同单位不混合求和</t>
  </si>
  <si>
    <t>主题</t>
  </si>
  <si>
    <t>2026H1/期末</t>
  </si>
  <si>
    <t>变动率/差值</t>
  </si>
  <si>
    <t>住宅物业</t>
  </si>
  <si>
    <t>合约饱和收入</t>
  </si>
  <si>
    <t>人民币百万元</t>
  </si>
  <si>
    <t>PDF p30</t>
  </si>
  <si>
    <t>合约项目数</t>
  </si>
  <si>
    <t>个</t>
  </si>
  <si>
    <t>在管饱和收入</t>
  </si>
  <si>
    <t>在管项目数</t>
  </si>
  <si>
    <t>物业及设施管理</t>
  </si>
  <si>
    <t>PDF p31</t>
  </si>
  <si>
    <t>项目组合</t>
  </si>
  <si>
    <t>新签约住宅项目</t>
  </si>
  <si>
    <t>PDF p22</t>
  </si>
  <si>
    <t>新签约住宅年化饱和收入</t>
  </si>
  <si>
    <t>主动退出住宅项目</t>
  </si>
  <si>
    <t>退出住宅项目年化饱和收入</t>
  </si>
  <si>
    <t>蝶城数量</t>
  </si>
  <si>
    <t>居住服务</t>
  </si>
  <si>
    <t>二手买卖新增签约业绩</t>
  </si>
  <si>
    <t>PDF p23</t>
  </si>
  <si>
    <t>二手买卖成交单数</t>
  </si>
  <si>
    <t>单</t>
  </si>
  <si>
    <t>房屋修缮业务收入</t>
  </si>
  <si>
    <t>人力</t>
  </si>
  <si>
    <t>员工人数</t>
  </si>
  <si>
    <t>人</t>
  </si>
  <si>
    <t>PDF p38</t>
  </si>
  <si>
    <t>员工成本</t>
  </si>
  <si>
    <t>科技</t>
  </si>
  <si>
    <t>财翠翠AI审批量</t>
  </si>
  <si>
    <t>PDF p25</t>
  </si>
  <si>
    <t>可可上线项目</t>
  </si>
  <si>
    <t>灵石产品签约租赁</t>
  </si>
  <si>
    <t>台</t>
  </si>
  <si>
    <t>灵石已交付</t>
  </si>
  <si>
    <t>能源</t>
  </si>
  <si>
    <t>存量能耗项目</t>
  </si>
  <si>
    <t>PDF p24</t>
  </si>
  <si>
    <t>节能率</t>
  </si>
  <si>
    <t>营运资本与信用风险</t>
  </si>
  <si>
    <t>期末：2026年6月30日 | 对比：2025年12月31日 | 人民币千元</t>
  </si>
  <si>
    <t>关联方贸易应收款项及应收票据</t>
  </si>
  <si>
    <t>第三方贸易应收款项及应收票据</t>
  </si>
  <si>
    <t>应收保证金</t>
  </si>
  <si>
    <t>总账面值</t>
  </si>
  <si>
    <t>减：减值拨备</t>
  </si>
  <si>
    <t>账面净值</t>
  </si>
  <si>
    <t>贸易应收账龄（扣除亏损拨备）</t>
  </si>
  <si>
    <t>账龄</t>
  </si>
  <si>
    <t>1年内</t>
  </si>
  <si>
    <t>PDF p15</t>
  </si>
  <si>
    <t>1至2年</t>
  </si>
  <si>
    <t>2至3年</t>
  </si>
  <si>
    <t>3年以上</t>
  </si>
  <si>
    <t>预期信用亏损暴露</t>
  </si>
  <si>
    <t>2026总账面值</t>
  </si>
  <si>
    <t>2026 ECL</t>
  </si>
  <si>
    <t>2026 ECL率</t>
  </si>
  <si>
    <t>2025 ECL率</t>
  </si>
  <si>
    <t>第三方-少于1年</t>
  </si>
  <si>
    <t>第三方-1至3年</t>
  </si>
  <si>
    <t>第三方-3年以上</t>
  </si>
  <si>
    <t>关联方</t>
  </si>
  <si>
    <t>PDF p17</t>
  </si>
  <si>
    <t>第三方</t>
  </si>
  <si>
    <t>账龄合计</t>
  </si>
  <si>
    <t>其他财务附注与披露</t>
  </si>
  <si>
    <t>单位见各分区标题；披露值保留报告口径</t>
  </si>
  <si>
    <t>其他收入及收益净额（人民币千元）</t>
  </si>
  <si>
    <t>利息收入</t>
  </si>
  <si>
    <t>政府补助</t>
  </si>
  <si>
    <t>FVTPL金融资产公允价值收益</t>
  </si>
  <si>
    <t>出售投资性物业收益</t>
  </si>
  <si>
    <t>出售合营及联营企业收益</t>
  </si>
  <si>
    <t>重新计量以往持有合营企业权益收益</t>
  </si>
  <si>
    <t>外汇差异净额</t>
  </si>
  <si>
    <t>其他非营业亏损</t>
  </si>
  <si>
    <t>税前利润附注（人民币千元）</t>
  </si>
  <si>
    <t>提供服务成本</t>
  </si>
  <si>
    <t>PDF p10</t>
  </si>
  <si>
    <t>出售存货成本</t>
  </si>
  <si>
    <t>折旧及摊销</t>
  </si>
  <si>
    <t>研发成本</t>
  </si>
  <si>
    <t>工资及薪金</t>
  </si>
  <si>
    <t>退休金、公积金、医保及其他社保</t>
  </si>
  <si>
    <t>员工福利开支合计</t>
  </si>
  <si>
    <t>贸易应收及应收保证金减值</t>
  </si>
  <si>
    <t>其他金融资产减值</t>
  </si>
  <si>
    <t>金融资产减值合计</t>
  </si>
  <si>
    <t>税项、股息及每股盈利</t>
  </si>
  <si>
    <t>即期-中国利得税</t>
  </si>
  <si>
    <t>PDF p11</t>
  </si>
  <si>
    <t>递延税项</t>
  </si>
  <si>
    <t>期内税项支出总额</t>
  </si>
  <si>
    <t>归母盈利（EPS分子）</t>
  </si>
  <si>
    <t>PDF p12</t>
  </si>
  <si>
    <t>加权平均普通股数</t>
  </si>
  <si>
    <t>股</t>
  </si>
  <si>
    <t>已考虑库存股</t>
  </si>
  <si>
    <t>每股基本及摊薄盈利</t>
  </si>
  <si>
    <t>人民币元</t>
  </si>
  <si>
    <t>2026年中期股息</t>
  </si>
  <si>
    <t>人民币元/股</t>
  </si>
  <si>
    <t>待股东会批准</t>
  </si>
  <si>
    <t>2026年中期股息总额</t>
  </si>
  <si>
    <t>无形资产变动（2026H1，人民币千元）</t>
  </si>
  <si>
    <t>客户关系</t>
  </si>
  <si>
    <t>商誉</t>
  </si>
  <si>
    <t>其他</t>
  </si>
  <si>
    <t>2026年1月1日账面净值</t>
  </si>
  <si>
    <t>添置</t>
  </si>
  <si>
    <t>收购附属公司</t>
  </si>
  <si>
    <t>期内摊销</t>
  </si>
  <si>
    <t>2026年6月30日账面净值</t>
  </si>
  <si>
    <t>其他重要披露</t>
  </si>
  <si>
    <t>2025年末/对比期</t>
  </si>
  <si>
    <t>报告摘要</t>
  </si>
  <si>
    <t>关联方贸易应收款项</t>
  </si>
  <si>
    <t>环比</t>
  </si>
  <si>
    <t>持续关连交易收入</t>
  </si>
  <si>
    <t>上年同期为反推值</t>
  </si>
  <si>
    <t>开发商相关业务收入</t>
  </si>
  <si>
    <t>报告为四舍五入值</t>
  </si>
  <si>
    <t>开发商相关业务毛利</t>
  </si>
  <si>
    <t>经营活动现金流出</t>
  </si>
  <si>
    <t>PDF p36</t>
  </si>
  <si>
    <t>公告未提供完整现金流量表</t>
  </si>
  <si>
    <t>分红及股份回购支付</t>
  </si>
  <si>
    <t>银行贷款或借贷</t>
  </si>
  <si>
    <t>PDF p37</t>
  </si>
  <si>
    <t>净现金状况</t>
  </si>
  <si>
    <t>回购H股股数</t>
  </si>
  <si>
    <t>回购H股总金额</t>
  </si>
  <si>
    <t>港元</t>
  </si>
  <si>
    <t>不含交易费用</t>
  </si>
  <si>
    <t>数据完整性与勾稽校验</t>
  </si>
  <si>
    <t>一行一项断言；差异容差默认为0.5千元（比率为0.01%）</t>
  </si>
  <si>
    <t>模型状态</t>
  </si>
  <si>
    <t>校验项</t>
  </si>
  <si>
    <t>Actual</t>
  </si>
  <si>
    <t>Expected</t>
  </si>
  <si>
    <t>Difference</t>
  </si>
  <si>
    <t>Tolerance</t>
  </si>
  <si>
    <t>Status</t>
  </si>
  <si>
    <t>Notes</t>
  </si>
  <si>
    <t>收入：利润表=分业务合计</t>
  </si>
  <si>
    <t>毛利：利润表=分业务合计</t>
  </si>
  <si>
    <t>毛利=收入+销售成本</t>
  </si>
  <si>
    <t>期内利润=归母+少数股东</t>
  </si>
  <si>
    <t>全面收益=期内利润+其他全面收益</t>
  </si>
  <si>
    <t>全面收益=归属合计</t>
  </si>
  <si>
    <t>资产合计=流动+非流动</t>
  </si>
  <si>
    <t>资产=负债+权益</t>
  </si>
  <si>
    <t>流动资产净额=流动资产-流动负债</t>
  </si>
  <si>
    <t>应收账龄合计=应收净额</t>
  </si>
  <si>
    <t>应付账龄合计=应付合计</t>
  </si>
  <si>
    <t>无形资产变动合计=期末净值</t>
  </si>
  <si>
    <t>剔除开发商核心净利润桥接</t>
  </si>
  <si>
    <t>货币资金=现金+受限存款+定期存款</t>
  </si>
  <si>
    <t>摘要数据为百万元一位小数换算，容差1千元</t>
  </si>
  <si>
    <t>来源、口径与使用说明</t>
  </si>
  <si>
    <t>本工作簿仅整理用户提供的业绩公告，未引入外部数据</t>
  </si>
  <si>
    <t>类型</t>
  </si>
  <si>
    <t>内容/口径</t>
  </si>
  <si>
    <t>期间/时点</t>
  </si>
  <si>
    <t>来源文件</t>
  </si>
  <si>
    <t>参考</t>
  </si>
  <si>
    <t>主来源</t>
  </si>
  <si>
    <t>业绩公告</t>
  </si>
  <si>
    <t>万物云空间科技服务股份有限公司截至2026年6月30日止六个月未经审计中期业绩公告</t>
  </si>
  <si>
    <t>26H1-万物云业绩.pdf</t>
  </si>
  <si>
    <t>p1-p42</t>
  </si>
  <si>
    <t>公告创建日期2026-08-13</t>
  </si>
  <si>
    <t>财务报表</t>
  </si>
  <si>
    <t>除特别标注外，为人民币千元</t>
  </si>
  <si>
    <t>2026H1/2025H1</t>
  </si>
  <si>
    <t>p3-p18</t>
  </si>
  <si>
    <t>对比口径</t>
  </si>
  <si>
    <t>利润表/业务数据</t>
  </si>
  <si>
    <t>2026H1对2025H1</t>
  </si>
  <si>
    <t>6个月</t>
  </si>
  <si>
    <t>p3-p4,p9-p13,p26-p36</t>
  </si>
  <si>
    <t>资产负债表</t>
  </si>
  <si>
    <t>2026-06-30对2025-12-31</t>
  </si>
  <si>
    <t>p5-p6,p14-p18</t>
  </si>
  <si>
    <t>定义</t>
  </si>
  <si>
    <t>循环型业务</t>
  </si>
  <si>
    <t>住宅物业管理服务+物业及设施管理服务+BPaaS解决方案业务</t>
  </si>
  <si>
    <t>p2</t>
  </si>
  <si>
    <t>剔除开发商业务影响</t>
  </si>
  <si>
    <t>剔除来自万科集团的持续关连交易及其他开发商的开发商增值服务影响</t>
  </si>
  <si>
    <t>归母利润剔除历史收购客户关系摊销、非经常性事项及相关所得税影响</t>
  </si>
  <si>
    <t>限制</t>
  </si>
  <si>
    <t>现金流量表</t>
  </si>
  <si>
    <t>本公告财务报表摘要未提供完整合并现金流量表；仅整理管理层讨论中披露的现金流数据</t>
  </si>
  <si>
    <t>p36</t>
  </si>
  <si>
    <t>不应视为完整现金流量表</t>
  </si>
  <si>
    <t>处理规则</t>
  </si>
  <si>
    <t>报告四舍五入值</t>
  </si>
  <si>
    <t>如公告只给出人民币百万元一位小数，则保留该精度，不反推成更精确数据</t>
  </si>
  <si>
    <t>p1,p28,p33-p38</t>
  </si>
  <si>
    <t>个别摘要指标换算为千元仅为汇总展示</t>
  </si>
  <si>
    <t>使用说明</t>
  </si>
  <si>
    <t>颜色</t>
  </si>
  <si>
    <t>绿色字体=跨工作表公式；黑色=报告原数或本表公式；灰色=来源说明</t>
  </si>
  <si>
    <t>更新</t>
  </si>
  <si>
    <t>若替换报告数据，应同步更新来源页码、期间和09_校验中的勾稽关系</t>
  </si>
  <si>
    <t>物管</t>
    <phoneticPr fontId="15" type="noConversion"/>
  </si>
  <si>
    <t>社区增值</t>
    <phoneticPr fontId="15" type="noConversion"/>
  </si>
  <si>
    <t>非业主增值</t>
    <phoneticPr fontId="15" type="noConversion"/>
  </si>
  <si>
    <r>
      <t>AIoT</t>
    </r>
    <r>
      <rPr>
        <b/>
        <sz val="11"/>
        <rFont val="微软雅黑"/>
        <family val="2"/>
        <charset val="134"/>
      </rPr>
      <t>及</t>
    </r>
    <r>
      <rPr>
        <b/>
        <sz val="11"/>
        <rFont val="Carlito"/>
        <family val="2"/>
      </rPr>
      <t>BPaaS</t>
    </r>
    <r>
      <rPr>
        <b/>
        <sz val="11"/>
        <rFont val="微软雅黑"/>
        <family val="2"/>
        <charset val="134"/>
      </rPr>
      <t>解决方案服务</t>
    </r>
    <phoneticPr fontId="15" type="noConversion"/>
  </si>
  <si>
    <t>AIoT及BPaaS</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</si>
</sst>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0;[Red]\(#,##0\);\-"/>
    <numFmt numFmtId="177" formatCode="0.0%;[Red]\(0.0%\);\-"/>
    <numFmt numFmtId="178" formatCode="0.00\x"/>
    <numFmt numFmtId="179" formatCode="#,##0.0;[Red]\(#,##0.0\);\-"/>
  </numFmts>
  <fonts count="18">
    <font>
      <sz val="11"/>
      <name val="Carlito"/>
    </font>
    <font>
      <b/>
      <sz val="16"/>
      <color rgb="FFFFFFFF"/>
      <name val="Carlito"/>
    </font>
    <font>
      <i/>
      <sz val="11"/>
      <color rgb="FF666666"/>
      <name val="Carlito"/>
    </font>
    <font>
      <b/>
      <sz val="11"/>
      <color rgb="FF17365D"/>
      <name val="Carlito"/>
    </font>
    <font>
      <sz val="11"/>
      <color rgb="FF666666"/>
      <name val="Carlito"/>
    </font>
    <font>
      <b/>
      <sz val="11"/>
      <color rgb="FFFFFFFF"/>
      <name val="Carlito"/>
    </font>
    <font>
      <sz val="11"/>
      <color rgb="FF008000"/>
      <name val="Carlito"/>
    </font>
    <font>
      <b/>
      <sz val="11"/>
      <name val="Carlito"/>
    </font>
    <font>
      <i/>
      <sz val="9"/>
      <color rgb="FF666666"/>
      <name val="Carlito"/>
    </font>
    <font>
      <b/>
      <i/>
      <sz val="9"/>
      <color rgb="FF666666"/>
      <name val="Carlito"/>
    </font>
    <font>
      <sz val="10"/>
      <color rgb="FF000000"/>
      <name val="Carlito"/>
    </font>
    <font>
      <i/>
      <sz val="10"/>
      <color rgb="FF000000"/>
      <name val="Carlito"/>
    </font>
    <font>
      <b/>
      <sz val="10"/>
      <color rgb="FF000000"/>
      <name val="Carlito"/>
    </font>
    <font>
      <b/>
      <i/>
      <sz val="10"/>
      <color rgb="FF000000"/>
      <name val="Carlito"/>
    </font>
    <font>
      <sz val="11"/>
      <name val="Carlito"/>
    </font>
    <font>
      <sz val="9"/>
      <name val="宋体"/>
      <family val="3"/>
      <charset val="134"/>
    </font>
    <font>
      <b/>
      <sz val="11"/>
      <name val="微软雅黑"/>
      <family val="2"/>
      <charset val="134"/>
    </font>
    <font>
      <b/>
      <sz val="11"/>
      <name val="Carlito"/>
      <family val="2"/>
    </font>
  </fonts>
  <fills count="8">
    <fill>
      <patternFill patternType="none"/>
    </fill>
    <fill>
      <patternFill patternType="gray125"/>
    </fill>
    <fill>
      <patternFill patternType="solid">
        <fgColor rgb="FF17365D"/>
      </patternFill>
    </fill>
    <fill>
      <patternFill patternType="solid">
        <fgColor rgb="FFEAF2F8"/>
      </patternFill>
    </fill>
    <fill>
      <patternFill patternType="solid">
        <fgColor rgb="FFE2F0D9"/>
      </patternFill>
    </fill>
    <fill>
      <patternFill patternType="solid">
        <fgColor rgb="FFFFF2CC"/>
      </patternFill>
    </fill>
    <fill>
      <patternFill patternType="solid">
        <fgColor rgb="FFD9EAF7"/>
      </patternFill>
    </fill>
    <fill>
      <patternFill patternType="solid">
        <fgColor rgb="FFF2F2F2"/>
      </patternFill>
    </fill>
  </fills>
  <borders count="3">
    <border>
      <left/>
      <right/>
      <top/>
      <bottom/>
      <diagonal/>
    </border>
    <border>
      <left/>
      <right/>
      <top/>
      <bottom style="thin">
        <color rgb="FFA6A6A6"/>
      </bottom>
      <diagonal/>
    </border>
    <border>
      <left/>
      <right/>
      <top style="thin">
        <color rgb="FF7F7F7F"/>
      </top>
      <bottom/>
      <diagonal/>
    </border>
  </borders>
  <cellStyleXfs count="3">
    <xf numFmtId="0" fontId="0" fillId="0" borderId="0"/>
    <xf numFmtId="0" fontId="14" fillId="0" borderId="0"/>
    <xf numFmtId="43" fontId="14" fillId="0" borderId="0" applyFont="0" applyFill="0" applyBorder="0" applyAlignment="0" applyProtection="0">
      <alignment vertical="center"/>
    </xf>
  </cellStyleXfs>
  <cellXfs count="45">
    <xf numFmtId="0" fontId="0" fillId="0" borderId="0" xfId="0"/>
    <xf numFmtId="0" fontId="3" fillId="4" borderId="0" xfId="1" applyFont="1" applyFill="1"/>
    <xf numFmtId="0" fontId="3" fillId="6" borderId="0" xfId="1" applyFont="1" applyFill="1"/>
    <xf numFmtId="0" fontId="3" fillId="6" borderId="1" xfId="1" applyFont="1" applyFill="1" applyBorder="1" applyAlignment="1">
      <alignment vertical="center" wrapText="1"/>
    </xf>
    <xf numFmtId="176" fontId="6" fillId="0" borderId="0" xfId="1" applyNumberFormat="1" applyFont="1"/>
    <xf numFmtId="177" fontId="6" fillId="0" borderId="0" xfId="1" applyNumberFormat="1" applyFont="1"/>
    <xf numFmtId="178" fontId="6" fillId="0" borderId="0" xfId="1" applyNumberFormat="1" applyFont="1"/>
    <xf numFmtId="176" fontId="0" fillId="0" borderId="0" xfId="1" applyNumberFormat="1" applyFont="1"/>
    <xf numFmtId="177" fontId="0" fillId="0" borderId="0" xfId="1" applyNumberFormat="1" applyFont="1"/>
    <xf numFmtId="2" fontId="0" fillId="0" borderId="0" xfId="1" applyNumberFormat="1" applyFont="1"/>
    <xf numFmtId="0" fontId="7" fillId="7" borderId="2" xfId="1" applyFont="1" applyFill="1" applyBorder="1"/>
    <xf numFmtId="176" fontId="7" fillId="7" borderId="2" xfId="1" applyNumberFormat="1" applyFont="1" applyFill="1" applyBorder="1"/>
    <xf numFmtId="177" fontId="7" fillId="7" borderId="2" xfId="1" applyNumberFormat="1" applyFont="1" applyFill="1" applyBorder="1"/>
    <xf numFmtId="0" fontId="8" fillId="0" borderId="0" xfId="1" applyFont="1" applyAlignment="1">
      <alignment wrapText="1"/>
    </xf>
    <xf numFmtId="0" fontId="9" fillId="7" borderId="2" xfId="1" applyFont="1" applyFill="1" applyBorder="1" applyAlignment="1">
      <alignment wrapText="1"/>
    </xf>
    <xf numFmtId="0" fontId="10" fillId="0" borderId="0" xfId="1" applyFont="1" applyAlignment="1">
      <alignment vertical="center"/>
    </xf>
    <xf numFmtId="176" fontId="10" fillId="0" borderId="0" xfId="1" applyNumberFormat="1" applyFont="1" applyAlignment="1">
      <alignment vertical="center"/>
    </xf>
    <xf numFmtId="177" fontId="10" fillId="0" borderId="0" xfId="1" applyNumberFormat="1" applyFont="1" applyAlignment="1">
      <alignment vertical="center"/>
    </xf>
    <xf numFmtId="0" fontId="11" fillId="0" borderId="0" xfId="1" applyFont="1" applyAlignment="1">
      <alignment vertical="center" wrapText="1"/>
    </xf>
    <xf numFmtId="0" fontId="12" fillId="7" borderId="2" xfId="1" applyFont="1" applyFill="1" applyBorder="1" applyAlignment="1">
      <alignment vertical="center"/>
    </xf>
    <xf numFmtId="176" fontId="12" fillId="7" borderId="2" xfId="1" applyNumberFormat="1" applyFont="1" applyFill="1" applyBorder="1" applyAlignment="1">
      <alignment vertical="center"/>
    </xf>
    <xf numFmtId="177" fontId="12" fillId="7" borderId="2" xfId="1" applyNumberFormat="1" applyFont="1" applyFill="1" applyBorder="1" applyAlignment="1">
      <alignment vertical="center"/>
    </xf>
    <xf numFmtId="0" fontId="13" fillId="7" borderId="2" xfId="1" applyFont="1" applyFill="1" applyBorder="1" applyAlignment="1">
      <alignment vertical="center" wrapText="1"/>
    </xf>
    <xf numFmtId="2" fontId="10" fillId="0" borderId="0" xfId="1" applyNumberFormat="1" applyFont="1" applyAlignment="1">
      <alignment vertical="center"/>
    </xf>
    <xf numFmtId="0" fontId="3" fillId="3" borderId="0" xfId="1" applyFont="1" applyFill="1"/>
    <xf numFmtId="176" fontId="3" fillId="3" borderId="0" xfId="1" applyNumberFormat="1" applyFont="1" applyFill="1"/>
    <xf numFmtId="177" fontId="3" fillId="3" borderId="0" xfId="1" applyNumberFormat="1" applyFont="1" applyFill="1"/>
    <xf numFmtId="0" fontId="9" fillId="3" borderId="0" xfId="1" applyFont="1" applyFill="1" applyAlignment="1">
      <alignment wrapText="1"/>
    </xf>
    <xf numFmtId="179" fontId="0" fillId="0" borderId="0" xfId="1" applyNumberFormat="1" applyFont="1"/>
    <xf numFmtId="176" fontId="3" fillId="6" borderId="1" xfId="1" applyNumberFormat="1" applyFont="1" applyFill="1" applyBorder="1" applyAlignment="1">
      <alignment vertical="center" wrapText="1"/>
    </xf>
    <xf numFmtId="177" fontId="3" fillId="6" borderId="1" xfId="1" applyNumberFormat="1" applyFont="1" applyFill="1" applyBorder="1" applyAlignment="1">
      <alignment vertical="center" wrapText="1"/>
    </xf>
    <xf numFmtId="0" fontId="9" fillId="6" borderId="1" xfId="1" applyFont="1" applyFill="1" applyBorder="1" applyAlignment="1">
      <alignment vertical="center" wrapText="1"/>
    </xf>
    <xf numFmtId="4" fontId="0" fillId="0" borderId="0" xfId="1" applyNumberFormat="1" applyFont="1"/>
    <xf numFmtId="179" fontId="6" fillId="0" borderId="0" xfId="1" applyNumberFormat="1" applyFont="1"/>
    <xf numFmtId="0" fontId="0" fillId="0" borderId="0" xfId="1" applyFont="1" applyAlignment="1">
      <alignment vertical="top" wrapText="1"/>
    </xf>
    <xf numFmtId="0" fontId="8" fillId="0" borderId="0" xfId="1" applyFont="1" applyAlignment="1">
      <alignment vertical="top" wrapText="1"/>
    </xf>
    <xf numFmtId="176" fontId="0" fillId="0" borderId="0" xfId="0" applyNumberFormat="1"/>
    <xf numFmtId="0" fontId="1" fillId="2" borderId="0" xfId="1" applyFont="1" applyFill="1" applyAlignment="1">
      <alignment vertical="center"/>
    </xf>
    <xf numFmtId="0" fontId="2" fillId="3" borderId="0" xfId="1" applyFont="1" applyFill="1" applyAlignment="1">
      <alignment wrapText="1"/>
    </xf>
    <xf numFmtId="0" fontId="4" fillId="5" borderId="0" xfId="1" applyFont="1" applyFill="1" applyAlignment="1">
      <alignment wrapText="1"/>
    </xf>
    <xf numFmtId="0" fontId="5" fillId="2" borderId="0" xfId="1" applyFont="1" applyFill="1" applyAlignment="1">
      <alignment vertical="center"/>
    </xf>
    <xf numFmtId="176" fontId="5" fillId="2" borderId="0" xfId="1" applyNumberFormat="1" applyFont="1" applyFill="1" applyAlignment="1">
      <alignment vertical="center"/>
    </xf>
    <xf numFmtId="177" fontId="5" fillId="2" borderId="0" xfId="1" applyNumberFormat="1" applyFont="1" applyFill="1" applyAlignment="1">
      <alignment vertical="center"/>
    </xf>
    <xf numFmtId="0" fontId="9" fillId="2" borderId="0" xfId="1" applyFont="1" applyFill="1" applyAlignment="1">
      <alignment vertical="center" wrapText="1"/>
    </xf>
    <xf numFmtId="43" fontId="0" fillId="0" borderId="0" xfId="2" applyNumberFormat="1" applyFont="1" applyAlignment="1"/>
  </cellXfs>
  <cellStyles count="3">
    <cellStyle name="Normal" xfId="1" xr:uid="{00000000-0005-0000-0000-000000000000}"/>
    <cellStyle name="常规" xfId="0" builtinId="0"/>
    <cellStyle name="千位分隔" xfId="2" builtinId="3"/>
  </cellStyles>
  <dxfs count="2">
    <dxf>
      <font>
        <b/>
        <color rgb="FFC00000"/>
      </font>
      <fill>
        <patternFill patternType="solid">
          <bgColor rgb="FFFCE4D6"/>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00229caaaaf64f9b"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zh-CN" altLang="en-US"/>
              <a:t>分业务收入对比（人民币千元）</a:t>
            </a:r>
          </a:p>
        </c:rich>
      </c:tx>
      <c:overlay val="0"/>
    </c:title>
    <c:autoTitleDeleted val="0"/>
    <c:plotArea>
      <c:layout/>
      <c:barChart>
        <c:barDir val="col"/>
        <c:grouping val="clustered"/>
        <c:varyColors val="0"/>
        <c:ser>
          <c:idx val="0"/>
          <c:order val="0"/>
          <c:tx>
            <c:v>2026H1</c:v>
          </c:tx>
          <c:invertIfNegative val="1"/>
          <c:cat>
            <c:strRef>
              <c:f>'00_摘要'!$A$24:$A$27</c:f>
              <c:strCache>
                <c:ptCount val="4"/>
                <c:pt idx="0">
                  <c:v>社区空间居住消费服务</c:v>
                </c:pt>
                <c:pt idx="1">
                  <c:v>商企和城市空间综合服务</c:v>
                </c:pt>
                <c:pt idx="2">
                  <c:v>AIoT及BPaaS解决方案服务</c:v>
                </c:pt>
                <c:pt idx="3">
                  <c:v>合计</c:v>
                </c:pt>
              </c:strCache>
            </c:strRef>
          </c:cat>
          <c:val>
            <c:numRef>
              <c:f>'00_摘要'!$B$24:$B$27</c:f>
              <c:numCache>
                <c:formatCode>#,##0;[Red]\(#,##0\);\-</c:formatCode>
                <c:ptCount val="4"/>
                <c:pt idx="0">
                  <c:v>11951745</c:v>
                </c:pt>
                <c:pt idx="1">
                  <c:v>6204698</c:v>
                </c:pt>
                <c:pt idx="2">
                  <c:v>955927</c:v>
                </c:pt>
                <c:pt idx="3">
                  <c:v>19112370</c:v>
                </c:pt>
              </c:numCache>
            </c:numRef>
          </c:val>
          <c:extLst>
            <c:ext xmlns:c16="http://schemas.microsoft.com/office/drawing/2014/chart" uri="{C3380CC4-5D6E-409C-BE32-E72D297353CC}">
              <c16:uniqueId val="{00000000-7306-4B56-B8CC-9CB256EA70F8}"/>
            </c:ext>
          </c:extLst>
        </c:ser>
        <c:ser>
          <c:idx val="1"/>
          <c:order val="1"/>
          <c:tx>
            <c:v>2025H1</c:v>
          </c:tx>
          <c:invertIfNegative val="1"/>
          <c:cat>
            <c:strRef>
              <c:f>'00_摘要'!$A$24:$A$27</c:f>
              <c:strCache>
                <c:ptCount val="4"/>
                <c:pt idx="0">
                  <c:v>社区空间居住消费服务</c:v>
                </c:pt>
                <c:pt idx="1">
                  <c:v>商企和城市空间综合服务</c:v>
                </c:pt>
                <c:pt idx="2">
                  <c:v>AIoT及BPaaS解决方案服务</c:v>
                </c:pt>
                <c:pt idx="3">
                  <c:v>合计</c:v>
                </c:pt>
              </c:strCache>
            </c:strRef>
          </c:cat>
          <c:val>
            <c:numRef>
              <c:f>'00_摘要'!$C$24:$C$27</c:f>
              <c:numCache>
                <c:formatCode>#,##0;[Red]\(#,##0\);\-</c:formatCode>
                <c:ptCount val="4"/>
                <c:pt idx="0">
                  <c:v>11324996</c:v>
                </c:pt>
                <c:pt idx="1">
                  <c:v>5748658</c:v>
                </c:pt>
                <c:pt idx="2">
                  <c:v>1063803</c:v>
                </c:pt>
                <c:pt idx="3">
                  <c:v>18137457</c:v>
                </c:pt>
              </c:numCache>
            </c:numRef>
          </c:val>
          <c:extLst>
            <c:ext xmlns:c16="http://schemas.microsoft.com/office/drawing/2014/chart" uri="{C3380CC4-5D6E-409C-BE32-E72D297353CC}">
              <c16:uniqueId val="{00000001-7306-4B56-B8CC-9CB256EA70F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22</xdr:row>
      <xdr:rowOff>0</xdr:rowOff>
    </xdr:from>
    <xdr:to>
      <xdr:col>12</xdr:col>
      <xdr:colOff>0</xdr:colOff>
      <xdr:row>39</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533400</xdr:colOff>
      <xdr:row>49</xdr:row>
      <xdr:rowOff>152400</xdr:rowOff>
    </xdr:to>
    <xdr:sp macro="" textlink="">
      <xdr:nvSpPr>
        <xdr:cNvPr id="2050" name="Text Box 2" hidden="1">
          <a:extLst>
            <a:ext uri="{FF2B5EF4-FFF2-40B4-BE49-F238E27FC236}">
              <a16:creationId xmlns:a16="http://schemas.microsoft.com/office/drawing/2014/main" id="{27E0EAD9-204C-C20B-0E7B-A6B4420EB68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533400</xdr:colOff>
      <xdr:row>49</xdr:row>
      <xdr:rowOff>152400</xdr:rowOff>
    </xdr:to>
    <xdr:sp macro="" textlink="">
      <xdr:nvSpPr>
        <xdr:cNvPr id="2" name="AutoShape 2">
          <a:extLst>
            <a:ext uri="{FF2B5EF4-FFF2-40B4-BE49-F238E27FC236}">
              <a16:creationId xmlns:a16="http://schemas.microsoft.com/office/drawing/2014/main" id="{2C13E7F4-D643-A734-1DA3-E9C28CE7B78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76200</xdr:colOff>
      <xdr:row>49</xdr:row>
      <xdr:rowOff>9525</xdr:rowOff>
    </xdr:to>
    <xdr:sp macro="" textlink="">
      <xdr:nvSpPr>
        <xdr:cNvPr id="3074" name="Text Box 2" hidden="1">
          <a:extLst>
            <a:ext uri="{FF2B5EF4-FFF2-40B4-BE49-F238E27FC236}">
              <a16:creationId xmlns:a16="http://schemas.microsoft.com/office/drawing/2014/main" id="{32BBE157-2687-A5AA-D724-608D981B9A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76200</xdr:colOff>
      <xdr:row>49</xdr:row>
      <xdr:rowOff>9525</xdr:rowOff>
    </xdr:to>
    <xdr:sp macro="" textlink="">
      <xdr:nvSpPr>
        <xdr:cNvPr id="2" name="AutoShape 2">
          <a:extLst>
            <a:ext uri="{FF2B5EF4-FFF2-40B4-BE49-F238E27FC236}">
              <a16:creationId xmlns:a16="http://schemas.microsoft.com/office/drawing/2014/main" id="{10D916DB-D2C1-080A-3830-B6F2B06034D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381000</xdr:colOff>
      <xdr:row>52</xdr:row>
      <xdr:rowOff>19050</xdr:rowOff>
    </xdr:to>
    <xdr:sp macro="" textlink="">
      <xdr:nvSpPr>
        <xdr:cNvPr id="4098" name="Text Box 2" hidden="1">
          <a:extLst>
            <a:ext uri="{FF2B5EF4-FFF2-40B4-BE49-F238E27FC236}">
              <a16:creationId xmlns:a16="http://schemas.microsoft.com/office/drawing/2014/main" id="{B4549A6B-2049-CAC3-22F3-38FE7F8272C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381000</xdr:colOff>
      <xdr:row>48</xdr:row>
      <xdr:rowOff>19050</xdr:rowOff>
    </xdr:to>
    <xdr:sp macro="" textlink="">
      <xdr:nvSpPr>
        <xdr:cNvPr id="2" name="AutoShape 2">
          <a:extLst>
            <a:ext uri="{FF2B5EF4-FFF2-40B4-BE49-F238E27FC236}">
              <a16:creationId xmlns:a16="http://schemas.microsoft.com/office/drawing/2014/main" id="{13B62562-7487-BB8F-2EF6-157B4C54C73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76200</xdr:colOff>
      <xdr:row>49</xdr:row>
      <xdr:rowOff>47625</xdr:rowOff>
    </xdr:to>
    <xdr:sp macro="" textlink="">
      <xdr:nvSpPr>
        <xdr:cNvPr id="5122" name="Text Box 2" hidden="1">
          <a:extLst>
            <a:ext uri="{FF2B5EF4-FFF2-40B4-BE49-F238E27FC236}">
              <a16:creationId xmlns:a16="http://schemas.microsoft.com/office/drawing/2014/main" id="{AA9A7022-173A-7F4E-C1AE-A0A2EEFD75C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76200</xdr:colOff>
      <xdr:row>49</xdr:row>
      <xdr:rowOff>47625</xdr:rowOff>
    </xdr:to>
    <xdr:sp macro="" textlink="">
      <xdr:nvSpPr>
        <xdr:cNvPr id="2" name="AutoShape 2">
          <a:extLst>
            <a:ext uri="{FF2B5EF4-FFF2-40B4-BE49-F238E27FC236}">
              <a16:creationId xmlns:a16="http://schemas.microsoft.com/office/drawing/2014/main" id="{985E41E5-8B4B-DDCC-73AD-43F76D23EE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老顾" id="{9102F682-679F-41E3-8B05-C6A40C402FFA}"/>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B8" dT="2026-08-20T07:23:53.986" personId="{9102F682-679F-41E3-8B05-C6A40C402FFA}" id="{EF23917E-65FE-61E8-AF53-6E50373F4193}">
    <xltc:text>来源：26H1-万物云业绩.pdf | 第3页 | 收入</xltc:text>
  </xltc:threadedComment>
</xltc:ThreadedComments>
</file>

<file path=xl/threadedcomments/threadedcomment2.xml><?xml version="1.0" encoding="utf-8"?>
<xltc:ThreadedComments xmlns:xltc="http://schemas.microsoft.com/office/spreadsheetml/2018/threadedcomments">
  <xltc:threadedComment ref="B23" dT="2026-08-20T07:23:53.987" personId="{9102F682-679F-41E3-8B05-C6A40C402FFA}" id="{9FD81D72-ABC0-A88A-C13D-627F6B63B4E8}">
    <xltc:text>来源：26H1-万物云业绩.pdf | 第5页 | 现金及现金等价物</xltc:text>
  </xltc:threadedComment>
</xltc:ThreadedComments>
</file>

<file path=xl/threadedcomments/threadedcomment3.xml><?xml version="1.0" encoding="utf-8"?>
<xltc:ThreadedComments xmlns:xltc="http://schemas.microsoft.com/office/spreadsheetml/2018/threadedcomments">
  <xltc:threadedComment ref="B19" dT="2026-08-20T07:23:53.987" personId="{9102F682-679F-41E3-8B05-C6A40C402FFA}" id="{E5B5046F-D559-2505-1B1F-D2EE7E5FBEAF}">
    <xltc:text>来源：26H1-万物云业绩.pdf | 第26页 | 分业务收入合计</xltc:text>
  </xltc:threadedComment>
</xltc:ThreadedComments>
</file>

<file path=xl/threadedcomments/threadedcomment4.xml><?xml version="1.0" encoding="utf-8"?>
<xltc:ThreadedComments xmlns:xltc="http://schemas.microsoft.com/office/spreadsheetml/2018/threadedcomments">
  <xltc:threadedComment ref="B33" dT="2026-08-20T07:23:53.987" personId="{9102F682-679F-41E3-8B05-C6A40C402FFA}" id="{41A9B1BF-2C06-F39F-1825-B4CB62EE03A8}">
    <xltc:text>来源：26H1-万物云业绩.pdf | 第29页 | 剔除所有开发商业务后的核心净利润</xltc:text>
  </xltc:threadedComment>
</xl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7af5de9d20d24612" Type="http://schemas.microsoft.com/office/2017/10/relationships/threadedComment" Target="../threadedcomments/threadedcomment.xml"/><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ec06c9302d764a4d" Type="http://schemas.microsoft.com/office/2017/10/relationships/threadedComment" Target="../threadedcomments/threadedcomment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bce2446a299e4033"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4c582478a3634f4c"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showGridLines="0" workbookViewId="0">
      <selection sqref="A1:H1"/>
    </sheetView>
  </sheetViews>
  <sheetFormatPr defaultRowHeight="14.25"/>
  <cols>
    <col min="1" max="1" width="34" customWidth="1"/>
    <col min="2" max="4" width="16" customWidth="1"/>
    <col min="5" max="5" width="14" customWidth="1"/>
    <col min="6" max="6" width="15" customWidth="1"/>
    <col min="7" max="7" width="14" customWidth="1"/>
    <col min="8" max="8" width="30" customWidth="1"/>
  </cols>
  <sheetData>
    <row r="1" spans="1:8" ht="30" customHeight="1">
      <c r="A1" s="37" t="s">
        <v>0</v>
      </c>
      <c r="B1" s="37" t="s">
        <v>0</v>
      </c>
      <c r="C1" s="37" t="s">
        <v>0</v>
      </c>
      <c r="D1" s="37" t="s">
        <v>0</v>
      </c>
      <c r="E1" s="37" t="s">
        <v>0</v>
      </c>
      <c r="F1" s="37" t="s">
        <v>0</v>
      </c>
      <c r="G1" s="37" t="s">
        <v>0</v>
      </c>
      <c r="H1" s="37" t="s">
        <v>0</v>
      </c>
    </row>
    <row r="2" spans="1:8" ht="24.95" customHeight="1">
      <c r="A2" s="38" t="s">
        <v>1</v>
      </c>
      <c r="B2" s="38" t="s">
        <v>1</v>
      </c>
      <c r="C2" s="38" t="s">
        <v>1</v>
      </c>
      <c r="D2" s="38" t="s">
        <v>1</v>
      </c>
      <c r="E2" s="38" t="s">
        <v>1</v>
      </c>
      <c r="F2" s="38" t="s">
        <v>1</v>
      </c>
      <c r="G2" s="38" t="s">
        <v>1</v>
      </c>
      <c r="H2" s="38" t="s">
        <v>1</v>
      </c>
    </row>
    <row r="4" spans="1:8" ht="15">
      <c r="A4" s="1" t="s">
        <v>2</v>
      </c>
      <c r="B4" s="1" t="s">
        <v>3</v>
      </c>
      <c r="D4" s="39" t="s">
        <v>4</v>
      </c>
      <c r="E4" s="39" t="s">
        <v>4</v>
      </c>
      <c r="F4" s="39" t="s">
        <v>4</v>
      </c>
      <c r="G4" s="39" t="s">
        <v>4</v>
      </c>
      <c r="H4" s="39" t="s">
        <v>4</v>
      </c>
    </row>
    <row r="6" spans="1:8" ht="21.95" customHeight="1">
      <c r="A6" s="40" t="s">
        <v>5</v>
      </c>
      <c r="B6" s="40" t="s">
        <v>5</v>
      </c>
      <c r="C6" s="40" t="s">
        <v>5</v>
      </c>
      <c r="D6" s="40" t="s">
        <v>5</v>
      </c>
      <c r="E6" s="40" t="s">
        <v>5</v>
      </c>
      <c r="F6" s="40" t="s">
        <v>5</v>
      </c>
      <c r="G6" s="40" t="s">
        <v>5</v>
      </c>
      <c r="H6" s="40" t="s">
        <v>5</v>
      </c>
    </row>
    <row r="7" spans="1:8" ht="27.95" customHeight="1">
      <c r="A7" s="3" t="s">
        <v>6</v>
      </c>
      <c r="B7" s="3" t="s">
        <v>7</v>
      </c>
      <c r="C7" s="3" t="s">
        <v>8</v>
      </c>
      <c r="D7" s="3" t="s">
        <v>9</v>
      </c>
      <c r="E7" s="3" t="s">
        <v>10</v>
      </c>
      <c r="F7" s="3" t="s">
        <v>11</v>
      </c>
      <c r="G7" s="3" t="s">
        <v>12</v>
      </c>
      <c r="H7" s="3" t="s">
        <v>13</v>
      </c>
    </row>
    <row r="8" spans="1:8">
      <c r="A8" t="s">
        <v>14</v>
      </c>
      <c r="B8" s="4">
        <f>'01_利润表'!B8</f>
        <v>19112370</v>
      </c>
      <c r="C8" s="4">
        <f>'01_利润表'!C8</f>
        <v>18137457</v>
      </c>
      <c r="D8" s="4">
        <f t="shared" ref="D8:D19" si="0">B8-C8</f>
        <v>974913</v>
      </c>
      <c r="E8" s="5">
        <f t="shared" ref="E8:E19" si="1">IFERROR(B8/C8-1,0)</f>
        <v>5.3751361064563685E-2</v>
      </c>
      <c r="F8" t="s">
        <v>15</v>
      </c>
      <c r="G8" t="s">
        <v>16</v>
      </c>
    </row>
    <row r="9" spans="1:8">
      <c r="A9" t="s">
        <v>17</v>
      </c>
      <c r="B9" s="4">
        <f>'01_利润表'!B11</f>
        <v>2419159</v>
      </c>
      <c r="C9" s="4">
        <f>'01_利润表'!C11</f>
        <v>2492873</v>
      </c>
      <c r="D9" s="4">
        <f t="shared" si="0"/>
        <v>-73714</v>
      </c>
      <c r="E9" s="5">
        <f t="shared" si="1"/>
        <v>-2.9569897864833106E-2</v>
      </c>
      <c r="F9" t="s">
        <v>15</v>
      </c>
      <c r="G9" t="s">
        <v>16</v>
      </c>
    </row>
    <row r="10" spans="1:8">
      <c r="A10" t="s">
        <v>18</v>
      </c>
      <c r="B10" s="5">
        <f>'01_利润表'!B11/'01_利润表'!B8</f>
        <v>0.12657556336550621</v>
      </c>
      <c r="C10" s="5">
        <f>'01_利润表'!C11/'01_利润表'!C8</f>
        <v>0.13744335823925041</v>
      </c>
      <c r="D10" s="5">
        <f t="shared" si="0"/>
        <v>-1.0867794873744202E-2</v>
      </c>
      <c r="E10" s="5">
        <f t="shared" si="1"/>
        <v>-7.9071080719858577E-2</v>
      </c>
      <c r="F10" t="s">
        <v>19</v>
      </c>
      <c r="G10" t="s">
        <v>20</v>
      </c>
      <c r="H10" t="s">
        <v>21</v>
      </c>
    </row>
    <row r="11" spans="1:8">
      <c r="A11" t="s">
        <v>22</v>
      </c>
      <c r="B11" s="4">
        <f>'01_利润表'!B24</f>
        <v>820008</v>
      </c>
      <c r="C11" s="4">
        <f>'01_利润表'!C24</f>
        <v>837778</v>
      </c>
      <c r="D11" s="4">
        <f t="shared" si="0"/>
        <v>-17770</v>
      </c>
      <c r="E11" s="5">
        <f t="shared" si="1"/>
        <v>-2.1210869705339586E-2</v>
      </c>
      <c r="F11" t="s">
        <v>15</v>
      </c>
      <c r="G11" t="s">
        <v>16</v>
      </c>
    </row>
    <row r="12" spans="1:8">
      <c r="A12" t="s">
        <v>23</v>
      </c>
      <c r="B12" s="4">
        <f>'01_利润表'!B22</f>
        <v>781565</v>
      </c>
      <c r="C12" s="4">
        <f>'01_利润表'!C22</f>
        <v>791992</v>
      </c>
      <c r="D12" s="4">
        <f t="shared" si="0"/>
        <v>-10427</v>
      </c>
      <c r="E12" s="5">
        <f t="shared" si="1"/>
        <v>-1.3165537025626506E-2</v>
      </c>
      <c r="F12" t="s">
        <v>15</v>
      </c>
      <c r="G12" t="s">
        <v>16</v>
      </c>
    </row>
    <row r="13" spans="1:8">
      <c r="A13" t="s">
        <v>24</v>
      </c>
      <c r="B13" s="4">
        <v>1262600</v>
      </c>
      <c r="C13" s="4">
        <v>1274900</v>
      </c>
      <c r="D13" s="4">
        <f t="shared" si="0"/>
        <v>-12300</v>
      </c>
      <c r="E13" s="5">
        <f t="shared" si="1"/>
        <v>-9.647815514942315E-3</v>
      </c>
      <c r="F13" t="s">
        <v>15</v>
      </c>
      <c r="G13" t="s">
        <v>25</v>
      </c>
      <c r="H13" t="s">
        <v>26</v>
      </c>
    </row>
    <row r="14" spans="1:8">
      <c r="A14" t="s">
        <v>27</v>
      </c>
      <c r="B14" s="4">
        <f>'05_核心利润'!B33</f>
        <v>1099269</v>
      </c>
      <c r="C14" s="4">
        <f>'05_核心利润'!C33</f>
        <v>1024190</v>
      </c>
      <c r="D14" s="4">
        <f t="shared" si="0"/>
        <v>75079</v>
      </c>
      <c r="E14" s="5">
        <f t="shared" si="1"/>
        <v>7.3305734287583357E-2</v>
      </c>
      <c r="F14" t="s">
        <v>15</v>
      </c>
      <c r="G14" t="s">
        <v>28</v>
      </c>
    </row>
    <row r="15" spans="1:8">
      <c r="A15" t="s">
        <v>29</v>
      </c>
      <c r="B15" s="4">
        <f>'02_资产负债表'!B23</f>
        <v>9301898</v>
      </c>
      <c r="C15" s="4">
        <f>'02_资产负债表'!C23</f>
        <v>11084838</v>
      </c>
      <c r="D15" s="4">
        <f t="shared" si="0"/>
        <v>-1782940</v>
      </c>
      <c r="E15" s="5">
        <f t="shared" si="1"/>
        <v>-0.16084493070624939</v>
      </c>
      <c r="F15" t="s">
        <v>15</v>
      </c>
      <c r="G15" t="s">
        <v>30</v>
      </c>
      <c r="H15" t="s">
        <v>31</v>
      </c>
    </row>
    <row r="16" spans="1:8">
      <c r="A16" t="s">
        <v>32</v>
      </c>
      <c r="B16" s="4">
        <v>10366500</v>
      </c>
      <c r="C16" s="4"/>
      <c r="D16" s="4">
        <f t="shared" si="0"/>
        <v>10366500</v>
      </c>
      <c r="E16" s="5">
        <f t="shared" si="1"/>
        <v>0</v>
      </c>
      <c r="F16" t="s">
        <v>15</v>
      </c>
      <c r="G16" t="s">
        <v>33</v>
      </c>
      <c r="H16" t="s">
        <v>34</v>
      </c>
    </row>
    <row r="17" spans="1:8">
      <c r="A17" t="s">
        <v>35</v>
      </c>
      <c r="B17" s="4">
        <f>'07_营运资本'!B12</f>
        <v>7002298</v>
      </c>
      <c r="C17" s="4">
        <f>'07_营运资本'!C12</f>
        <v>6004480</v>
      </c>
      <c r="D17" s="4">
        <f t="shared" si="0"/>
        <v>997818</v>
      </c>
      <c r="E17" s="5">
        <f t="shared" si="1"/>
        <v>0.16617891973992749</v>
      </c>
      <c r="F17" t="s">
        <v>15</v>
      </c>
      <c r="G17" t="s">
        <v>36</v>
      </c>
      <c r="H17" t="s">
        <v>31</v>
      </c>
    </row>
    <row r="18" spans="1:8">
      <c r="A18" t="s">
        <v>37</v>
      </c>
      <c r="B18" s="6">
        <f>'02_资产负债表'!B24/'02_资产负债表'!B32</f>
        <v>1.0686399446893569</v>
      </c>
      <c r="C18" s="6">
        <f>'02_资产负债表'!C24/'02_资产负债表'!C32</f>
        <v>1.0681477362953693</v>
      </c>
      <c r="D18" s="6">
        <f t="shared" si="0"/>
        <v>4.9220839398755878E-4</v>
      </c>
      <c r="E18" s="5">
        <f t="shared" si="1"/>
        <v>4.6080553959204629E-4</v>
      </c>
      <c r="F18" t="s">
        <v>38</v>
      </c>
      <c r="G18" t="s">
        <v>20</v>
      </c>
      <c r="H18" t="s">
        <v>39</v>
      </c>
    </row>
    <row r="19" spans="1:8">
      <c r="A19" t="s">
        <v>40</v>
      </c>
      <c r="B19" s="5">
        <f>('02_资产负债表'!B32+'02_资产负债表'!B40)/'02_资产负债表'!B25</f>
        <v>0.57906617249226289</v>
      </c>
      <c r="C19" s="5">
        <f>('02_资产负债表'!C32+'02_资产负债表'!C40)/'02_资产负债表'!C25</f>
        <v>0.58339364827447249</v>
      </c>
      <c r="D19" s="5">
        <f t="shared" si="0"/>
        <v>-4.3274757822095999E-3</v>
      </c>
      <c r="E19" s="5">
        <f t="shared" si="1"/>
        <v>-7.4177629376136478E-3</v>
      </c>
      <c r="F19" t="s">
        <v>19</v>
      </c>
      <c r="G19" t="s">
        <v>20</v>
      </c>
      <c r="H19" t="s">
        <v>41</v>
      </c>
    </row>
    <row r="22" spans="1:8" ht="21.95" customHeight="1">
      <c r="A22" s="40" t="s">
        <v>42</v>
      </c>
      <c r="B22" s="40" t="s">
        <v>42</v>
      </c>
      <c r="C22" s="40" t="s">
        <v>42</v>
      </c>
      <c r="D22" s="40" t="s">
        <v>42</v>
      </c>
      <c r="E22" s="40" t="s">
        <v>42</v>
      </c>
      <c r="F22" s="40" t="s">
        <v>42</v>
      </c>
      <c r="G22" s="40" t="s">
        <v>42</v>
      </c>
      <c r="H22" s="40" t="s">
        <v>42</v>
      </c>
    </row>
    <row r="23" spans="1:8" ht="15">
      <c r="A23" s="2" t="s">
        <v>43</v>
      </c>
      <c r="B23" s="2" t="s">
        <v>7</v>
      </c>
      <c r="C23" s="2" t="s">
        <v>44</v>
      </c>
    </row>
    <row r="24" spans="1:8">
      <c r="A24" t="s">
        <v>45</v>
      </c>
      <c r="B24" s="4">
        <f>'04_收入与毛利'!B8</f>
        <v>11951745</v>
      </c>
      <c r="C24" s="4">
        <f>'04_收入与毛利'!C8</f>
        <v>11324996</v>
      </c>
    </row>
    <row r="25" spans="1:8">
      <c r="A25" t="s">
        <v>46</v>
      </c>
      <c r="B25" s="4">
        <f>'04_收入与毛利'!B12</f>
        <v>6204698</v>
      </c>
      <c r="C25" s="4">
        <f>'04_收入与毛利'!C12</f>
        <v>5748658</v>
      </c>
    </row>
    <row r="26" spans="1:8">
      <c r="A26" t="s">
        <v>47</v>
      </c>
      <c r="B26" s="4">
        <f>'04_收入与毛利'!B16</f>
        <v>955927</v>
      </c>
      <c r="C26" s="4">
        <f>'04_收入与毛利'!C16</f>
        <v>1063803</v>
      </c>
    </row>
    <row r="27" spans="1:8">
      <c r="A27" t="s">
        <v>48</v>
      </c>
      <c r="B27" s="4">
        <f>'04_收入与毛利'!B19</f>
        <v>19112370</v>
      </c>
      <c r="C27" s="4">
        <f>'04_收入与毛利'!C19</f>
        <v>18137457</v>
      </c>
    </row>
  </sheetData>
  <mergeCells count="5">
    <mergeCell ref="A1:H1"/>
    <mergeCell ref="A2:H2"/>
    <mergeCell ref="D4:H4"/>
    <mergeCell ref="A6:H6"/>
    <mergeCell ref="A22:H22"/>
  </mergeCells>
  <phoneticPr fontId="1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showGridLines="0" workbookViewId="0"/>
  </sheetViews>
  <sheetFormatPr defaultRowHeight="14.25"/>
  <cols>
    <col min="1" max="1" width="42" customWidth="1"/>
    <col min="2" max="4" width="16" customWidth="1"/>
    <col min="5" max="6" width="14" customWidth="1"/>
  </cols>
  <sheetData>
    <row r="1" spans="1:8" ht="30" customHeight="1">
      <c r="A1" s="37" t="s">
        <v>49</v>
      </c>
      <c r="B1" s="37" t="s">
        <v>49</v>
      </c>
      <c r="C1" s="37" t="s">
        <v>49</v>
      </c>
      <c r="D1" s="37" t="s">
        <v>49</v>
      </c>
      <c r="E1" s="37" t="s">
        <v>49</v>
      </c>
      <c r="F1" s="37" t="s">
        <v>49</v>
      </c>
    </row>
    <row r="2" spans="1:8" ht="24.95" customHeight="1">
      <c r="A2" s="38" t="s">
        <v>50</v>
      </c>
      <c r="B2" s="38" t="s">
        <v>50</v>
      </c>
      <c r="C2" s="38" t="s">
        <v>50</v>
      </c>
      <c r="D2" s="38" t="s">
        <v>50</v>
      </c>
      <c r="E2" s="38" t="s">
        <v>50</v>
      </c>
      <c r="F2" s="38" t="s">
        <v>50</v>
      </c>
      <c r="G2" s="38" t="s">
        <v>50</v>
      </c>
      <c r="H2" s="38" t="s">
        <v>50</v>
      </c>
    </row>
    <row r="5" spans="1:8" ht="27.95" customHeight="1">
      <c r="A5" s="3" t="s">
        <v>51</v>
      </c>
      <c r="B5" s="3" t="s">
        <v>7</v>
      </c>
      <c r="C5" s="3" t="s">
        <v>44</v>
      </c>
      <c r="D5" s="3" t="s">
        <v>52</v>
      </c>
      <c r="E5" s="3" t="s">
        <v>10</v>
      </c>
      <c r="F5" s="3" t="s">
        <v>12</v>
      </c>
    </row>
    <row r="8" spans="1:8">
      <c r="A8" s="15" t="s">
        <v>53</v>
      </c>
      <c r="B8" s="16">
        <v>19112370</v>
      </c>
      <c r="C8" s="16">
        <v>18137457</v>
      </c>
      <c r="D8" s="16">
        <f t="shared" ref="D8:D25" si="0">IF(OR(B8="",C8=""),"",B8-C8)</f>
        <v>974913</v>
      </c>
      <c r="E8" s="17">
        <f t="shared" ref="E8:E25" si="1">IFERROR(B8/C8-1,"")</f>
        <v>5.3751361064563685E-2</v>
      </c>
      <c r="F8" s="18" t="s">
        <v>16</v>
      </c>
    </row>
    <row r="9" spans="1:8">
      <c r="A9" s="15" t="s">
        <v>54</v>
      </c>
      <c r="B9" s="16">
        <v>-16693211</v>
      </c>
      <c r="C9" s="16">
        <v>-15644584</v>
      </c>
      <c r="D9" s="16">
        <f t="shared" si="0"/>
        <v>-1048627</v>
      </c>
      <c r="E9" s="17">
        <f t="shared" si="1"/>
        <v>6.7028116567369178E-2</v>
      </c>
      <c r="F9" s="18" t="s">
        <v>16</v>
      </c>
    </row>
    <row r="10" spans="1:8">
      <c r="A10" s="15"/>
      <c r="B10" s="16"/>
      <c r="C10" s="16"/>
      <c r="D10" s="16" t="str">
        <f t="shared" si="0"/>
        <v/>
      </c>
      <c r="E10" s="17" t="str">
        <f t="shared" si="1"/>
        <v/>
      </c>
      <c r="F10" s="18"/>
    </row>
    <row r="11" spans="1:8">
      <c r="A11" s="19" t="s">
        <v>17</v>
      </c>
      <c r="B11" s="20">
        <v>2419159</v>
      </c>
      <c r="C11" s="20">
        <v>2492873</v>
      </c>
      <c r="D11" s="20">
        <f t="shared" si="0"/>
        <v>-73714</v>
      </c>
      <c r="E11" s="21">
        <f t="shared" si="1"/>
        <v>-2.9569897864833106E-2</v>
      </c>
      <c r="F11" s="22" t="s">
        <v>16</v>
      </c>
    </row>
    <row r="12" spans="1:8">
      <c r="A12" s="15" t="s">
        <v>55</v>
      </c>
      <c r="B12" s="16">
        <v>56174</v>
      </c>
      <c r="C12" s="16">
        <v>63204</v>
      </c>
      <c r="D12" s="16">
        <f t="shared" si="0"/>
        <v>-7030</v>
      </c>
      <c r="E12" s="17">
        <f t="shared" si="1"/>
        <v>-0.11122713752294155</v>
      </c>
      <c r="F12" s="18" t="s">
        <v>16</v>
      </c>
    </row>
    <row r="13" spans="1:8">
      <c r="A13" s="15" t="s">
        <v>56</v>
      </c>
      <c r="B13" s="16">
        <v>-271918</v>
      </c>
      <c r="C13" s="16">
        <v>-298494</v>
      </c>
      <c r="D13" s="16">
        <f t="shared" si="0"/>
        <v>26576</v>
      </c>
      <c r="E13" s="17">
        <f t="shared" si="1"/>
        <v>-8.9033615416055256E-2</v>
      </c>
      <c r="F13" s="18" t="s">
        <v>16</v>
      </c>
    </row>
    <row r="14" spans="1:8">
      <c r="A14" s="15" t="s">
        <v>57</v>
      </c>
      <c r="B14" s="16">
        <v>-842736</v>
      </c>
      <c r="C14" s="16">
        <v>-885774</v>
      </c>
      <c r="D14" s="16">
        <f t="shared" si="0"/>
        <v>43038</v>
      </c>
      <c r="E14" s="17">
        <f t="shared" si="1"/>
        <v>-4.8588014549986847E-2</v>
      </c>
      <c r="F14" s="18" t="s">
        <v>16</v>
      </c>
    </row>
    <row r="15" spans="1:8">
      <c r="A15" s="15" t="s">
        <v>58</v>
      </c>
      <c r="B15" s="16">
        <v>-269942</v>
      </c>
      <c r="C15" s="16">
        <v>-268022</v>
      </c>
      <c r="D15" s="16">
        <f t="shared" si="0"/>
        <v>-1920</v>
      </c>
      <c r="E15" s="17">
        <f t="shared" si="1"/>
        <v>7.1635910484959542E-3</v>
      </c>
      <c r="F15" s="18" t="s">
        <v>16</v>
      </c>
    </row>
    <row r="16" spans="1:8">
      <c r="A16" s="15" t="s">
        <v>59</v>
      </c>
      <c r="B16" s="16">
        <v>-4014</v>
      </c>
      <c r="C16" s="16">
        <v>-15546</v>
      </c>
      <c r="D16" s="16">
        <f t="shared" si="0"/>
        <v>11532</v>
      </c>
      <c r="E16" s="17">
        <f t="shared" si="1"/>
        <v>-0.74179853338479351</v>
      </c>
      <c r="F16" s="18" t="s">
        <v>16</v>
      </c>
    </row>
    <row r="17" spans="1:6">
      <c r="A17" s="15" t="s">
        <v>60</v>
      </c>
      <c r="B17" s="16">
        <v>3443</v>
      </c>
      <c r="C17" s="16">
        <v>12367</v>
      </c>
      <c r="D17" s="16">
        <f t="shared" si="0"/>
        <v>-8924</v>
      </c>
      <c r="E17" s="17">
        <f t="shared" si="1"/>
        <v>-0.72159780059836665</v>
      </c>
      <c r="F17" s="18" t="s">
        <v>16</v>
      </c>
    </row>
    <row r="18" spans="1:6">
      <c r="A18" s="19" t="s">
        <v>61</v>
      </c>
      <c r="B18" s="20">
        <v>1090166</v>
      </c>
      <c r="C18" s="20">
        <v>1100608</v>
      </c>
      <c r="D18" s="20">
        <f t="shared" si="0"/>
        <v>-10442</v>
      </c>
      <c r="E18" s="21">
        <f t="shared" si="1"/>
        <v>-9.4874832819678012E-3</v>
      </c>
      <c r="F18" s="22" t="s">
        <v>16</v>
      </c>
    </row>
    <row r="19" spans="1:6">
      <c r="A19" s="15" t="s">
        <v>62</v>
      </c>
      <c r="B19" s="16">
        <v>-270158</v>
      </c>
      <c r="C19" s="16">
        <v>-262830</v>
      </c>
      <c r="D19" s="16">
        <f t="shared" si="0"/>
        <v>-7328</v>
      </c>
      <c r="E19" s="17">
        <f t="shared" si="1"/>
        <v>2.7881139900315821E-2</v>
      </c>
      <c r="F19" s="18" t="s">
        <v>16</v>
      </c>
    </row>
    <row r="20" spans="1:6">
      <c r="A20" s="19" t="s">
        <v>22</v>
      </c>
      <c r="B20" s="20">
        <v>820008</v>
      </c>
      <c r="C20" s="20">
        <v>837778</v>
      </c>
      <c r="D20" s="20">
        <f t="shared" si="0"/>
        <v>-17770</v>
      </c>
      <c r="E20" s="21">
        <f t="shared" si="1"/>
        <v>-2.1210869705339586E-2</v>
      </c>
      <c r="F20" s="22" t="s">
        <v>16</v>
      </c>
    </row>
    <row r="21" spans="1:6">
      <c r="A21" s="15"/>
      <c r="B21" s="16"/>
      <c r="C21" s="16"/>
      <c r="D21" s="16" t="str">
        <f t="shared" si="0"/>
        <v/>
      </c>
      <c r="E21" s="17" t="str">
        <f t="shared" si="1"/>
        <v/>
      </c>
      <c r="F21" s="18"/>
    </row>
    <row r="22" spans="1:6">
      <c r="A22" s="15" t="s">
        <v>63</v>
      </c>
      <c r="B22" s="16">
        <v>781565</v>
      </c>
      <c r="C22" s="16">
        <v>791992</v>
      </c>
      <c r="D22" s="16">
        <f t="shared" si="0"/>
        <v>-10427</v>
      </c>
      <c r="E22" s="17">
        <f t="shared" si="1"/>
        <v>-1.3165537025626506E-2</v>
      </c>
      <c r="F22" s="18" t="s">
        <v>16</v>
      </c>
    </row>
    <row r="23" spans="1:6">
      <c r="A23" s="15" t="s">
        <v>64</v>
      </c>
      <c r="B23" s="16">
        <v>38443</v>
      </c>
      <c r="C23" s="16">
        <v>45786</v>
      </c>
      <c r="D23" s="16">
        <f t="shared" si="0"/>
        <v>-7343</v>
      </c>
      <c r="E23" s="17">
        <f t="shared" si="1"/>
        <v>-0.16037653431179832</v>
      </c>
      <c r="F23" s="18" t="s">
        <v>16</v>
      </c>
    </row>
    <row r="24" spans="1:6">
      <c r="A24" s="19" t="s">
        <v>65</v>
      </c>
      <c r="B24" s="20">
        <v>820008</v>
      </c>
      <c r="C24" s="20">
        <v>837778</v>
      </c>
      <c r="D24" s="20">
        <f t="shared" si="0"/>
        <v>-17770</v>
      </c>
      <c r="E24" s="21">
        <f t="shared" si="1"/>
        <v>-2.1210869705339586E-2</v>
      </c>
      <c r="F24" s="22" t="s">
        <v>16</v>
      </c>
    </row>
    <row r="25" spans="1:6">
      <c r="A25" s="15" t="s">
        <v>66</v>
      </c>
      <c r="B25" s="23">
        <v>0.68</v>
      </c>
      <c r="C25" s="23">
        <v>0.68</v>
      </c>
      <c r="D25" s="23">
        <f t="shared" si="0"/>
        <v>0</v>
      </c>
      <c r="E25" s="23">
        <f t="shared" si="1"/>
        <v>0</v>
      </c>
      <c r="F25" s="18" t="s">
        <v>67</v>
      </c>
    </row>
  </sheetData>
  <mergeCells count="2">
    <mergeCell ref="A1:F1"/>
    <mergeCell ref="A2:H2"/>
  </mergeCells>
  <phoneticPr fontId="15"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8"/>
  <sheetViews>
    <sheetView showGridLines="0" workbookViewId="0"/>
  </sheetViews>
  <sheetFormatPr defaultRowHeight="14.25"/>
  <cols>
    <col min="1" max="1" width="48" customWidth="1"/>
    <col min="2" max="4" width="16" customWidth="1"/>
    <col min="5" max="6" width="14" customWidth="1"/>
  </cols>
  <sheetData>
    <row r="1" spans="1:8" ht="30" customHeight="1">
      <c r="A1" s="37" t="s">
        <v>68</v>
      </c>
      <c r="B1" s="37" t="s">
        <v>68</v>
      </c>
      <c r="C1" s="37" t="s">
        <v>68</v>
      </c>
      <c r="D1" s="37" t="s">
        <v>68</v>
      </c>
      <c r="E1" s="37" t="s">
        <v>68</v>
      </c>
      <c r="F1" s="37" t="s">
        <v>68</v>
      </c>
    </row>
    <row r="2" spans="1:8" ht="24.95" customHeight="1">
      <c r="A2" s="38" t="s">
        <v>69</v>
      </c>
      <c r="B2" s="38" t="s">
        <v>69</v>
      </c>
      <c r="C2" s="38" t="s">
        <v>69</v>
      </c>
      <c r="D2" s="38" t="s">
        <v>69</v>
      </c>
      <c r="E2" s="38" t="s">
        <v>69</v>
      </c>
      <c r="F2" s="38" t="s">
        <v>69</v>
      </c>
      <c r="G2" s="38" t="s">
        <v>69</v>
      </c>
      <c r="H2" s="38" t="s">
        <v>69</v>
      </c>
    </row>
    <row r="5" spans="1:8" ht="27.95" customHeight="1">
      <c r="A5" s="3" t="s">
        <v>51</v>
      </c>
      <c r="B5" s="3" t="s">
        <v>70</v>
      </c>
      <c r="C5" s="3" t="s">
        <v>71</v>
      </c>
      <c r="D5" s="3" t="s">
        <v>52</v>
      </c>
      <c r="E5" s="3" t="s">
        <v>10</v>
      </c>
      <c r="F5" s="3" t="s">
        <v>12</v>
      </c>
    </row>
    <row r="7" spans="1:8" ht="15">
      <c r="A7" s="24" t="s">
        <v>72</v>
      </c>
      <c r="B7" s="25"/>
      <c r="C7" s="25"/>
      <c r="D7" s="25" t="str">
        <f t="shared" ref="D7:D48" si="0">IF(OR(B7="",C7=""),"",B7-C7)</f>
        <v/>
      </c>
      <c r="E7" s="26" t="str">
        <f t="shared" ref="E7:E48" si="1">IFERROR(B7/C7-1,"")</f>
        <v/>
      </c>
      <c r="F7" s="27"/>
    </row>
    <row r="8" spans="1:8">
      <c r="A8" t="s">
        <v>73</v>
      </c>
      <c r="B8" s="7">
        <v>470811</v>
      </c>
      <c r="C8" s="7">
        <v>480025</v>
      </c>
      <c r="D8" s="7">
        <f t="shared" si="0"/>
        <v>-9214</v>
      </c>
      <c r="E8" s="8">
        <f t="shared" si="1"/>
        <v>-1.9194833602416583E-2</v>
      </c>
      <c r="F8" s="13" t="s">
        <v>30</v>
      </c>
    </row>
    <row r="9" spans="1:8">
      <c r="A9" t="s">
        <v>74</v>
      </c>
      <c r="B9" s="7">
        <v>2895357</v>
      </c>
      <c r="C9" s="7">
        <v>2518024</v>
      </c>
      <c r="D9" s="7">
        <f t="shared" si="0"/>
        <v>377333</v>
      </c>
      <c r="E9" s="8">
        <f t="shared" si="1"/>
        <v>0.14985282110099041</v>
      </c>
      <c r="F9" s="13" t="s">
        <v>30</v>
      </c>
    </row>
    <row r="10" spans="1:8">
      <c r="A10" t="s">
        <v>75</v>
      </c>
      <c r="B10" s="7">
        <v>219280</v>
      </c>
      <c r="C10" s="7">
        <v>255735</v>
      </c>
      <c r="D10" s="7">
        <f t="shared" si="0"/>
        <v>-36455</v>
      </c>
      <c r="E10" s="8">
        <f t="shared" si="1"/>
        <v>-0.1425499051752791</v>
      </c>
      <c r="F10" s="13" t="s">
        <v>30</v>
      </c>
    </row>
    <row r="11" spans="1:8">
      <c r="A11" t="s">
        <v>76</v>
      </c>
      <c r="B11" s="7">
        <v>7204951</v>
      </c>
      <c r="C11" s="7">
        <v>7458845</v>
      </c>
      <c r="D11" s="7">
        <f t="shared" si="0"/>
        <v>-253894</v>
      </c>
      <c r="E11" s="8">
        <f t="shared" si="1"/>
        <v>-3.403931841994301E-2</v>
      </c>
      <c r="F11" s="13" t="s">
        <v>30</v>
      </c>
    </row>
    <row r="12" spans="1:8">
      <c r="A12" t="s">
        <v>77</v>
      </c>
      <c r="B12" s="7">
        <v>1236493</v>
      </c>
      <c r="C12" s="7">
        <v>1244443</v>
      </c>
      <c r="D12" s="7">
        <f t="shared" si="0"/>
        <v>-7950</v>
      </c>
      <c r="E12" s="8">
        <f t="shared" si="1"/>
        <v>-6.3884002722502942E-3</v>
      </c>
      <c r="F12" s="13" t="s">
        <v>30</v>
      </c>
    </row>
    <row r="13" spans="1:8">
      <c r="A13" t="s">
        <v>78</v>
      </c>
      <c r="B13" s="7">
        <v>961637</v>
      </c>
      <c r="C13" s="7">
        <v>1192663</v>
      </c>
      <c r="D13" s="7">
        <f t="shared" si="0"/>
        <v>-231026</v>
      </c>
      <c r="E13" s="8">
        <f t="shared" si="1"/>
        <v>-0.19370601754225625</v>
      </c>
      <c r="F13" s="13" t="s">
        <v>30</v>
      </c>
    </row>
    <row r="14" spans="1:8">
      <c r="A14" t="s">
        <v>79</v>
      </c>
      <c r="B14" s="7">
        <v>604489</v>
      </c>
      <c r="C14" s="7">
        <v>590545</v>
      </c>
      <c r="D14" s="7">
        <f t="shared" si="0"/>
        <v>13944</v>
      </c>
      <c r="E14" s="8">
        <f t="shared" si="1"/>
        <v>2.3612087139845306E-2</v>
      </c>
      <c r="F14" s="13" t="s">
        <v>30</v>
      </c>
    </row>
    <row r="15" spans="1:8">
      <c r="A15" t="s">
        <v>80</v>
      </c>
      <c r="B15" s="7">
        <v>2617449</v>
      </c>
      <c r="C15" s="7">
        <v>2609504</v>
      </c>
      <c r="D15" s="7">
        <f t="shared" si="0"/>
        <v>7945</v>
      </c>
      <c r="E15" s="8">
        <f t="shared" si="1"/>
        <v>3.0446399009160796E-3</v>
      </c>
      <c r="F15" s="13" t="s">
        <v>30</v>
      </c>
    </row>
    <row r="16" spans="1:8" ht="15">
      <c r="A16" s="10" t="s">
        <v>81</v>
      </c>
      <c r="B16" s="11">
        <v>16210467</v>
      </c>
      <c r="C16" s="11">
        <v>16349784</v>
      </c>
      <c r="D16" s="11">
        <f t="shared" si="0"/>
        <v>-139317</v>
      </c>
      <c r="E16" s="12">
        <f t="shared" si="1"/>
        <v>-8.5210300025981844E-3</v>
      </c>
      <c r="F16" s="14" t="s">
        <v>30</v>
      </c>
    </row>
    <row r="17" spans="1:6" ht="15">
      <c r="A17" s="24" t="s">
        <v>82</v>
      </c>
      <c r="B17" s="25"/>
      <c r="C17" s="25"/>
      <c r="D17" s="25" t="str">
        <f t="shared" si="0"/>
        <v/>
      </c>
      <c r="E17" s="26" t="str">
        <f t="shared" si="1"/>
        <v/>
      </c>
      <c r="F17" s="27"/>
    </row>
    <row r="18" spans="1:6">
      <c r="A18" t="s">
        <v>83</v>
      </c>
      <c r="B18" s="7">
        <v>372569</v>
      </c>
      <c r="C18" s="7">
        <v>207768</v>
      </c>
      <c r="D18" s="7">
        <f t="shared" si="0"/>
        <v>164801</v>
      </c>
      <c r="E18" s="8">
        <f t="shared" si="1"/>
        <v>0.79319721997612724</v>
      </c>
      <c r="F18" s="13" t="s">
        <v>30</v>
      </c>
    </row>
    <row r="19" spans="1:6">
      <c r="A19" t="s">
        <v>84</v>
      </c>
      <c r="B19" s="7">
        <v>7002298</v>
      </c>
      <c r="C19" s="7">
        <v>6004480</v>
      </c>
      <c r="D19" s="7">
        <f t="shared" si="0"/>
        <v>997818</v>
      </c>
      <c r="E19" s="8">
        <f t="shared" si="1"/>
        <v>0.16617891973992749</v>
      </c>
      <c r="F19" s="13" t="s">
        <v>30</v>
      </c>
    </row>
    <row r="20" spans="1:6">
      <c r="A20" t="s">
        <v>85</v>
      </c>
      <c r="B20" s="7">
        <v>2515993</v>
      </c>
      <c r="C20" s="7">
        <v>2388548</v>
      </c>
      <c r="D20" s="7">
        <f t="shared" si="0"/>
        <v>127445</v>
      </c>
      <c r="E20" s="8">
        <f t="shared" si="1"/>
        <v>5.3356683642112213E-2</v>
      </c>
      <c r="F20" s="13" t="s">
        <v>30</v>
      </c>
    </row>
    <row r="21" spans="1:6">
      <c r="A21" t="s">
        <v>86</v>
      </c>
      <c r="B21" s="7">
        <v>997667</v>
      </c>
      <c r="C21" s="7">
        <v>931940</v>
      </c>
      <c r="D21" s="7">
        <f t="shared" si="0"/>
        <v>65727</v>
      </c>
      <c r="E21" s="8">
        <f t="shared" si="1"/>
        <v>7.0527072558319137E-2</v>
      </c>
      <c r="F21" s="13" t="s">
        <v>30</v>
      </c>
    </row>
    <row r="22" spans="1:6">
      <c r="A22" t="s">
        <v>87</v>
      </c>
      <c r="B22" s="7">
        <v>66935</v>
      </c>
      <c r="C22" s="7">
        <v>72939</v>
      </c>
      <c r="D22" s="7">
        <f t="shared" si="0"/>
        <v>-6004</v>
      </c>
      <c r="E22" s="8">
        <f t="shared" si="1"/>
        <v>-8.2315359409917854E-2</v>
      </c>
      <c r="F22" s="13" t="s">
        <v>30</v>
      </c>
    </row>
    <row r="23" spans="1:6">
      <c r="A23" t="s">
        <v>29</v>
      </c>
      <c r="B23" s="7">
        <v>9301898</v>
      </c>
      <c r="C23" s="7">
        <v>11084838</v>
      </c>
      <c r="D23" s="7">
        <f t="shared" si="0"/>
        <v>-1782940</v>
      </c>
      <c r="E23" s="8">
        <f t="shared" si="1"/>
        <v>-0.16084493070624939</v>
      </c>
      <c r="F23" s="13" t="s">
        <v>30</v>
      </c>
    </row>
    <row r="24" spans="1:6" ht="15">
      <c r="A24" s="10" t="s">
        <v>88</v>
      </c>
      <c r="B24" s="11">
        <v>20257360</v>
      </c>
      <c r="C24" s="11">
        <v>20690513</v>
      </c>
      <c r="D24" s="11">
        <f t="shared" si="0"/>
        <v>-433153</v>
      </c>
      <c r="E24" s="12">
        <f t="shared" si="1"/>
        <v>-2.0934860339132277E-2</v>
      </c>
      <c r="F24" s="14" t="s">
        <v>30</v>
      </c>
    </row>
    <row r="25" spans="1:6" ht="15">
      <c r="A25" s="10" t="s">
        <v>89</v>
      </c>
      <c r="B25" s="11">
        <f>B16+B24</f>
        <v>36467827</v>
      </c>
      <c r="C25" s="11">
        <f>C16+C24</f>
        <v>37040297</v>
      </c>
      <c r="D25" s="11">
        <f t="shared" si="0"/>
        <v>-572470</v>
      </c>
      <c r="E25" s="12">
        <f t="shared" si="1"/>
        <v>-1.5455329637340642E-2</v>
      </c>
      <c r="F25" s="14" t="s">
        <v>20</v>
      </c>
    </row>
    <row r="26" spans="1:6" ht="15">
      <c r="A26" s="24" t="s">
        <v>90</v>
      </c>
      <c r="B26" s="25"/>
      <c r="C26" s="25"/>
      <c r="D26" s="25" t="str">
        <f t="shared" si="0"/>
        <v/>
      </c>
      <c r="E26" s="26" t="str">
        <f t="shared" si="1"/>
        <v/>
      </c>
      <c r="F26" s="27"/>
    </row>
    <row r="27" spans="1:6">
      <c r="A27" t="s">
        <v>91</v>
      </c>
      <c r="B27" s="7">
        <v>6922203</v>
      </c>
      <c r="C27" s="7">
        <v>6805435</v>
      </c>
      <c r="D27" s="7">
        <f t="shared" si="0"/>
        <v>116768</v>
      </c>
      <c r="E27" s="8">
        <f t="shared" si="1"/>
        <v>1.7158050881391107E-2</v>
      </c>
      <c r="F27" s="13" t="s">
        <v>30</v>
      </c>
    </row>
    <row r="28" spans="1:6">
      <c r="A28" t="s">
        <v>92</v>
      </c>
      <c r="B28" s="7">
        <v>4986860</v>
      </c>
      <c r="C28" s="7">
        <v>4904389</v>
      </c>
      <c r="D28" s="7">
        <f t="shared" si="0"/>
        <v>82471</v>
      </c>
      <c r="E28" s="8">
        <f t="shared" si="1"/>
        <v>1.6815754215254941E-2</v>
      </c>
      <c r="F28" s="13" t="s">
        <v>30</v>
      </c>
    </row>
    <row r="29" spans="1:6">
      <c r="A29" t="s">
        <v>93</v>
      </c>
      <c r="B29" s="7">
        <v>6020327</v>
      </c>
      <c r="C29" s="7">
        <v>6502131</v>
      </c>
      <c r="D29" s="7">
        <f t="shared" si="0"/>
        <v>-481804</v>
      </c>
      <c r="E29" s="8">
        <f t="shared" si="1"/>
        <v>-7.4099399104693542E-2</v>
      </c>
      <c r="F29" s="13" t="s">
        <v>30</v>
      </c>
    </row>
    <row r="30" spans="1:6">
      <c r="A30" t="s">
        <v>94</v>
      </c>
      <c r="B30" s="7">
        <v>84880</v>
      </c>
      <c r="C30" s="7">
        <v>91735</v>
      </c>
      <c r="D30" s="7">
        <f t="shared" si="0"/>
        <v>-6855</v>
      </c>
      <c r="E30" s="8">
        <f t="shared" si="1"/>
        <v>-7.472611326102363E-2</v>
      </c>
      <c r="F30" s="13" t="s">
        <v>30</v>
      </c>
    </row>
    <row r="31" spans="1:6">
      <c r="A31" t="s">
        <v>95</v>
      </c>
      <c r="B31" s="7">
        <v>941937</v>
      </c>
      <c r="C31" s="7">
        <v>1066770</v>
      </c>
      <c r="D31" s="7">
        <f t="shared" si="0"/>
        <v>-124833</v>
      </c>
      <c r="E31" s="8">
        <f t="shared" si="1"/>
        <v>-0.1170196012261312</v>
      </c>
      <c r="F31" s="13" t="s">
        <v>30</v>
      </c>
    </row>
    <row r="32" spans="1:6">
      <c r="A32" t="s">
        <v>96</v>
      </c>
      <c r="B32" s="7">
        <v>18956207</v>
      </c>
      <c r="C32" s="7">
        <v>19370460</v>
      </c>
      <c r="D32" s="7">
        <f t="shared" si="0"/>
        <v>-414253</v>
      </c>
      <c r="E32" s="8">
        <f t="shared" si="1"/>
        <v>-2.1385811178464498E-2</v>
      </c>
      <c r="F32" s="13" t="s">
        <v>30</v>
      </c>
    </row>
    <row r="33" spans="1:6">
      <c r="A33" t="s">
        <v>97</v>
      </c>
      <c r="B33" s="7">
        <v>1301153</v>
      </c>
      <c r="C33" s="7">
        <v>1320053</v>
      </c>
      <c r="D33" s="7">
        <f t="shared" si="0"/>
        <v>-18900</v>
      </c>
      <c r="E33" s="8">
        <f t="shared" si="1"/>
        <v>-1.4317606944569627E-2</v>
      </c>
      <c r="F33" s="13" t="s">
        <v>30</v>
      </c>
    </row>
    <row r="34" spans="1:6" ht="15">
      <c r="A34" s="10" t="s">
        <v>98</v>
      </c>
      <c r="B34" s="11">
        <v>17511620</v>
      </c>
      <c r="C34" s="11">
        <v>17669837</v>
      </c>
      <c r="D34" s="11">
        <f t="shared" si="0"/>
        <v>-158217</v>
      </c>
      <c r="E34" s="12">
        <f t="shared" si="1"/>
        <v>-8.9540724116470294E-3</v>
      </c>
      <c r="F34" s="14" t="s">
        <v>30</v>
      </c>
    </row>
    <row r="35" spans="1:6" ht="15">
      <c r="A35" s="24" t="s">
        <v>99</v>
      </c>
      <c r="B35" s="25"/>
      <c r="C35" s="25"/>
      <c r="D35" s="25" t="str">
        <f t="shared" si="0"/>
        <v/>
      </c>
      <c r="E35" s="26" t="str">
        <f t="shared" si="1"/>
        <v/>
      </c>
      <c r="F35" s="27"/>
    </row>
    <row r="36" spans="1:6" ht="15">
      <c r="A36" s="10" t="s">
        <v>100</v>
      </c>
      <c r="B36" s="11">
        <v>1219938</v>
      </c>
      <c r="C36" s="11">
        <v>1203173</v>
      </c>
      <c r="D36" s="11">
        <f t="shared" si="0"/>
        <v>16765</v>
      </c>
      <c r="E36" s="12">
        <f t="shared" si="1"/>
        <v>1.3933989542650904E-2</v>
      </c>
      <c r="F36" s="14" t="s">
        <v>101</v>
      </c>
    </row>
    <row r="37" spans="1:6" ht="15">
      <c r="A37" s="10" t="s">
        <v>102</v>
      </c>
      <c r="B37" s="11">
        <v>105229</v>
      </c>
      <c r="C37" s="11">
        <v>106943</v>
      </c>
      <c r="D37" s="11">
        <f t="shared" si="0"/>
        <v>-1714</v>
      </c>
      <c r="E37" s="12">
        <f t="shared" si="1"/>
        <v>-1.6027229458683623E-2</v>
      </c>
      <c r="F37" s="14" t="s">
        <v>101</v>
      </c>
    </row>
    <row r="38" spans="1:6">
      <c r="A38" t="s">
        <v>103</v>
      </c>
      <c r="B38" s="7">
        <v>148566</v>
      </c>
      <c r="C38" s="7">
        <v>181794</v>
      </c>
      <c r="D38" s="7">
        <f t="shared" si="0"/>
        <v>-33228</v>
      </c>
      <c r="E38" s="8">
        <f t="shared" si="1"/>
        <v>-0.18277830951516549</v>
      </c>
      <c r="F38" s="13" t="s">
        <v>101</v>
      </c>
    </row>
    <row r="39" spans="1:6">
      <c r="A39" t="s">
        <v>104</v>
      </c>
      <c r="B39" s="7">
        <v>687345</v>
      </c>
      <c r="C39" s="7">
        <v>746704</v>
      </c>
      <c r="D39" s="7">
        <f t="shared" si="0"/>
        <v>-59359</v>
      </c>
      <c r="E39" s="8">
        <f t="shared" si="1"/>
        <v>-7.9494685979986768E-2</v>
      </c>
      <c r="F39" s="13" t="s">
        <v>101</v>
      </c>
    </row>
    <row r="40" spans="1:6">
      <c r="A40" t="s">
        <v>105</v>
      </c>
      <c r="B40" s="7">
        <v>2161078</v>
      </c>
      <c r="C40" s="7">
        <v>2238614</v>
      </c>
      <c r="D40" s="7">
        <f t="shared" si="0"/>
        <v>-77536</v>
      </c>
      <c r="E40" s="8">
        <f t="shared" si="1"/>
        <v>-3.4635716563909624E-2</v>
      </c>
      <c r="F40" s="13" t="s">
        <v>101</v>
      </c>
    </row>
    <row r="41" spans="1:6" ht="15">
      <c r="A41" s="10" t="s">
        <v>106</v>
      </c>
      <c r="B41" s="11">
        <v>15350542</v>
      </c>
      <c r="C41" s="11">
        <v>15431223</v>
      </c>
      <c r="D41" s="11">
        <f t="shared" si="0"/>
        <v>-80681</v>
      </c>
      <c r="E41" s="12">
        <f t="shared" si="1"/>
        <v>-5.2284255110564004E-3</v>
      </c>
      <c r="F41" s="14" t="s">
        <v>101</v>
      </c>
    </row>
    <row r="42" spans="1:6" ht="15">
      <c r="A42" s="24" t="s">
        <v>107</v>
      </c>
      <c r="B42" s="25"/>
      <c r="C42" s="25"/>
      <c r="D42" s="25" t="str">
        <f t="shared" si="0"/>
        <v/>
      </c>
      <c r="E42" s="26" t="str">
        <f t="shared" si="1"/>
        <v/>
      </c>
      <c r="F42" s="27"/>
    </row>
    <row r="43" spans="1:6" ht="15">
      <c r="A43" s="10" t="s">
        <v>108</v>
      </c>
      <c r="B43" s="11">
        <v>1168053</v>
      </c>
      <c r="C43" s="11">
        <v>1168053</v>
      </c>
      <c r="D43" s="11">
        <f t="shared" si="0"/>
        <v>0</v>
      </c>
      <c r="E43" s="12">
        <f t="shared" si="1"/>
        <v>0</v>
      </c>
      <c r="F43" s="14" t="s">
        <v>101</v>
      </c>
    </row>
    <row r="44" spans="1:6">
      <c r="A44" t="s">
        <v>109</v>
      </c>
      <c r="B44" s="7">
        <v>13312415</v>
      </c>
      <c r="C44" s="7">
        <v>13430374</v>
      </c>
      <c r="D44" s="7">
        <f t="shared" si="0"/>
        <v>-117959</v>
      </c>
      <c r="E44" s="8">
        <f t="shared" si="1"/>
        <v>-8.7830018732166781E-3</v>
      </c>
      <c r="F44" s="13" t="s">
        <v>101</v>
      </c>
    </row>
    <row r="45" spans="1:6">
      <c r="A45" t="s">
        <v>110</v>
      </c>
      <c r="B45" s="7">
        <v>14480468</v>
      </c>
      <c r="C45" s="7">
        <v>14598427</v>
      </c>
      <c r="D45" s="7">
        <f t="shared" si="0"/>
        <v>-117959</v>
      </c>
      <c r="E45" s="8">
        <f t="shared" si="1"/>
        <v>-8.0802541260096561E-3</v>
      </c>
      <c r="F45" s="13" t="s">
        <v>101</v>
      </c>
    </row>
    <row r="46" spans="1:6" ht="15">
      <c r="A46" s="10" t="s">
        <v>64</v>
      </c>
      <c r="B46" s="11">
        <v>870074</v>
      </c>
      <c r="C46" s="11">
        <v>832796</v>
      </c>
      <c r="D46" s="11">
        <f t="shared" si="0"/>
        <v>37278</v>
      </c>
      <c r="E46" s="12">
        <f t="shared" si="1"/>
        <v>4.4762462836036576E-2</v>
      </c>
      <c r="F46" s="14" t="s">
        <v>101</v>
      </c>
    </row>
    <row r="47" spans="1:6">
      <c r="A47" t="s">
        <v>111</v>
      </c>
      <c r="B47" s="7">
        <v>15350542</v>
      </c>
      <c r="C47" s="7">
        <v>15431223</v>
      </c>
      <c r="D47" s="7">
        <f t="shared" si="0"/>
        <v>-80681</v>
      </c>
      <c r="E47" s="8">
        <f t="shared" si="1"/>
        <v>-5.2284255110564004E-3</v>
      </c>
      <c r="F47" s="13" t="s">
        <v>101</v>
      </c>
    </row>
    <row r="48" spans="1:6" ht="15">
      <c r="A48" s="10"/>
      <c r="B48" s="11"/>
      <c r="C48" s="11"/>
      <c r="D48" s="11" t="str">
        <f t="shared" si="0"/>
        <v/>
      </c>
      <c r="E48" s="12" t="str">
        <f t="shared" si="1"/>
        <v/>
      </c>
      <c r="F48" s="14"/>
    </row>
  </sheetData>
  <mergeCells count="2">
    <mergeCell ref="A1:F1"/>
    <mergeCell ref="A2:H2"/>
  </mergeCells>
  <phoneticPr fontId="15"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showGridLines="0" workbookViewId="0"/>
  </sheetViews>
  <sheetFormatPr defaultRowHeight="14.25"/>
  <cols>
    <col min="1" max="1" width="45" customWidth="1"/>
    <col min="2" max="4" width="16" customWidth="1"/>
    <col min="5" max="6" width="14" customWidth="1"/>
  </cols>
  <sheetData>
    <row r="1" spans="1:8" ht="30" customHeight="1">
      <c r="A1" s="37" t="s">
        <v>112</v>
      </c>
      <c r="B1" s="37" t="s">
        <v>112</v>
      </c>
      <c r="C1" s="37" t="s">
        <v>112</v>
      </c>
      <c r="D1" s="37" t="s">
        <v>112</v>
      </c>
      <c r="E1" s="37" t="s">
        <v>112</v>
      </c>
      <c r="F1" s="37" t="s">
        <v>112</v>
      </c>
    </row>
    <row r="2" spans="1:8" ht="24.95" customHeight="1">
      <c r="A2" s="38" t="s">
        <v>50</v>
      </c>
      <c r="B2" s="38" t="s">
        <v>50</v>
      </c>
      <c r="C2" s="38" t="s">
        <v>50</v>
      </c>
      <c r="D2" s="38" t="s">
        <v>50</v>
      </c>
      <c r="E2" s="38" t="s">
        <v>50</v>
      </c>
      <c r="F2" s="38" t="s">
        <v>50</v>
      </c>
      <c r="G2" s="38" t="s">
        <v>50</v>
      </c>
      <c r="H2" s="38" t="s">
        <v>50</v>
      </c>
    </row>
    <row r="5" spans="1:8" ht="27.95" customHeight="1">
      <c r="A5" s="3" t="s">
        <v>51</v>
      </c>
      <c r="B5" s="3" t="s">
        <v>7</v>
      </c>
      <c r="C5" s="3" t="s">
        <v>44</v>
      </c>
      <c r="D5" s="3" t="s">
        <v>52</v>
      </c>
      <c r="E5" s="3" t="s">
        <v>10</v>
      </c>
      <c r="F5" s="3" t="s">
        <v>12</v>
      </c>
    </row>
    <row r="7" spans="1:8">
      <c r="A7" t="s">
        <v>22</v>
      </c>
      <c r="B7" s="7">
        <v>820008</v>
      </c>
      <c r="C7" s="7">
        <v>837778</v>
      </c>
      <c r="D7" s="7">
        <f t="shared" ref="D7:D14" si="0">B7-C7</f>
        <v>-17770</v>
      </c>
      <c r="E7" s="8">
        <f t="shared" ref="E7:E14" si="1">IFERROR(B7/C7-1,"")</f>
        <v>-2.1210869705339586E-2</v>
      </c>
      <c r="F7" s="13" t="s">
        <v>113</v>
      </c>
    </row>
    <row r="8" spans="1:8">
      <c r="A8" t="s">
        <v>114</v>
      </c>
      <c r="B8" s="7">
        <v>-2449</v>
      </c>
      <c r="C8" s="7">
        <v>-5033</v>
      </c>
      <c r="D8" s="7">
        <f t="shared" si="0"/>
        <v>2584</v>
      </c>
      <c r="E8" s="8">
        <f t="shared" si="1"/>
        <v>-0.51341148420425187</v>
      </c>
      <c r="F8" s="13" t="s">
        <v>113</v>
      </c>
    </row>
    <row r="9" spans="1:8">
      <c r="A9" t="s">
        <v>115</v>
      </c>
      <c r="B9" s="7">
        <v>-231026</v>
      </c>
      <c r="C9" s="7">
        <v>-175083</v>
      </c>
      <c r="D9" s="7">
        <f t="shared" si="0"/>
        <v>-55943</v>
      </c>
      <c r="E9" s="8">
        <f t="shared" si="1"/>
        <v>0.31952274064300923</v>
      </c>
      <c r="F9" s="13" t="s">
        <v>113</v>
      </c>
    </row>
    <row r="10" spans="1:8" ht="15">
      <c r="A10" s="10" t="s">
        <v>116</v>
      </c>
      <c r="B10" s="11">
        <v>-233475</v>
      </c>
      <c r="C10" s="11">
        <v>-180116</v>
      </c>
      <c r="D10" s="11">
        <f t="shared" si="0"/>
        <v>-53359</v>
      </c>
      <c r="E10" s="12">
        <f t="shared" si="1"/>
        <v>0.29624797352817067</v>
      </c>
      <c r="F10" s="14" t="s">
        <v>113</v>
      </c>
    </row>
    <row r="11" spans="1:8" ht="15">
      <c r="A11" s="10" t="s">
        <v>117</v>
      </c>
      <c r="B11" s="11">
        <v>586533</v>
      </c>
      <c r="C11" s="11">
        <v>657662</v>
      </c>
      <c r="D11" s="11">
        <f t="shared" si="0"/>
        <v>-71129</v>
      </c>
      <c r="E11" s="12">
        <f t="shared" si="1"/>
        <v>-0.10815434067955876</v>
      </c>
      <c r="F11" s="14" t="s">
        <v>113</v>
      </c>
    </row>
    <row r="12" spans="1:8">
      <c r="A12" t="s">
        <v>63</v>
      </c>
      <c r="B12" s="7">
        <v>548090</v>
      </c>
      <c r="C12" s="7">
        <v>611876</v>
      </c>
      <c r="D12" s="7">
        <f t="shared" si="0"/>
        <v>-63786</v>
      </c>
      <c r="E12" s="8">
        <f t="shared" si="1"/>
        <v>-0.10424661205865238</v>
      </c>
      <c r="F12" s="13" t="s">
        <v>113</v>
      </c>
    </row>
    <row r="13" spans="1:8">
      <c r="A13" t="s">
        <v>118</v>
      </c>
      <c r="B13" s="7">
        <v>38443</v>
      </c>
      <c r="C13" s="7">
        <v>45786</v>
      </c>
      <c r="D13" s="7">
        <f t="shared" si="0"/>
        <v>-7343</v>
      </c>
      <c r="E13" s="8">
        <f t="shared" si="1"/>
        <v>-0.16037653431179832</v>
      </c>
      <c r="F13" s="13" t="s">
        <v>113</v>
      </c>
    </row>
    <row r="14" spans="1:8" ht="15">
      <c r="A14" s="10" t="s">
        <v>65</v>
      </c>
      <c r="B14" s="11">
        <v>586533</v>
      </c>
      <c r="C14" s="11">
        <v>657662</v>
      </c>
      <c r="D14" s="11">
        <f t="shared" si="0"/>
        <v>-71129</v>
      </c>
      <c r="E14" s="12">
        <f t="shared" si="1"/>
        <v>-0.10815434067955876</v>
      </c>
      <c r="F14" s="14" t="s">
        <v>113</v>
      </c>
    </row>
  </sheetData>
  <mergeCells count="2">
    <mergeCell ref="A1:F1"/>
    <mergeCell ref="A2:H2"/>
  </mergeCells>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showGridLines="0" workbookViewId="0">
      <selection activeCell="B16" sqref="B16"/>
    </sheetView>
  </sheetViews>
  <sheetFormatPr defaultRowHeight="14.25"/>
  <cols>
    <col min="1" max="1" width="36" customWidth="1"/>
    <col min="2" max="3" width="15" customWidth="1"/>
    <col min="4" max="6" width="13" customWidth="1"/>
    <col min="7" max="8" width="15" customWidth="1"/>
    <col min="9" max="10" width="14" customWidth="1"/>
  </cols>
  <sheetData>
    <row r="1" spans="1:10" ht="30" customHeight="1">
      <c r="A1" s="37" t="s">
        <v>119</v>
      </c>
      <c r="B1" s="37" t="s">
        <v>119</v>
      </c>
      <c r="C1" s="37" t="s">
        <v>119</v>
      </c>
      <c r="D1" s="37" t="s">
        <v>119</v>
      </c>
      <c r="E1" s="37" t="s">
        <v>119</v>
      </c>
      <c r="F1" s="37" t="s">
        <v>119</v>
      </c>
      <c r="G1" s="37" t="s">
        <v>119</v>
      </c>
      <c r="H1" s="37" t="s">
        <v>119</v>
      </c>
      <c r="I1" s="37" t="s">
        <v>119</v>
      </c>
      <c r="J1" s="37" t="s">
        <v>119</v>
      </c>
    </row>
    <row r="2" spans="1:10" ht="24.95" customHeight="1">
      <c r="A2" s="38" t="s">
        <v>120</v>
      </c>
      <c r="B2" s="38" t="s">
        <v>120</v>
      </c>
      <c r="C2" s="38" t="s">
        <v>120</v>
      </c>
      <c r="D2" s="38" t="s">
        <v>120</v>
      </c>
      <c r="E2" s="38" t="s">
        <v>120</v>
      </c>
      <c r="F2" s="38" t="s">
        <v>120</v>
      </c>
      <c r="G2" s="38" t="s">
        <v>120</v>
      </c>
      <c r="H2" s="38" t="s">
        <v>120</v>
      </c>
    </row>
    <row r="5" spans="1:10" ht="27.95" customHeight="1">
      <c r="A5" s="3" t="s">
        <v>121</v>
      </c>
      <c r="B5" s="3" t="s">
        <v>122</v>
      </c>
      <c r="C5" s="3" t="s">
        <v>123</v>
      </c>
      <c r="D5" s="3" t="s">
        <v>124</v>
      </c>
      <c r="E5" s="3" t="s">
        <v>125</v>
      </c>
      <c r="F5" s="3" t="s">
        <v>126</v>
      </c>
      <c r="G5" s="3" t="s">
        <v>127</v>
      </c>
      <c r="H5" s="3" t="s">
        <v>128</v>
      </c>
      <c r="I5" s="3" t="s">
        <v>129</v>
      </c>
      <c r="J5" s="3" t="s">
        <v>130</v>
      </c>
    </row>
    <row r="8" spans="1:10" ht="15">
      <c r="A8" s="10" t="s">
        <v>45</v>
      </c>
      <c r="B8" s="11">
        <v>11951745</v>
      </c>
      <c r="C8" s="11">
        <v>11324996</v>
      </c>
      <c r="D8" s="12">
        <f t="shared" ref="D8:D19" si="0">B8/$B$19</f>
        <v>0.62534081330572822</v>
      </c>
      <c r="E8" s="12">
        <f t="shared" ref="E8:E19" si="1">C8/$C$19</f>
        <v>0.62439822738104911</v>
      </c>
      <c r="F8" s="12">
        <f t="shared" ref="F8:F19" si="2">B8/C8-1</f>
        <v>5.5342094602064407E-2</v>
      </c>
      <c r="G8" s="11">
        <v>1684792</v>
      </c>
      <c r="H8" s="11">
        <v>1634641</v>
      </c>
      <c r="I8" s="12">
        <f t="shared" ref="I8:I19" si="3">G8/B8</f>
        <v>0.14096619363950619</v>
      </c>
      <c r="J8" s="12">
        <f t="shared" ref="J8:J19" si="4">H8/C8</f>
        <v>0.14433921212864004</v>
      </c>
    </row>
    <row r="9" spans="1:10">
      <c r="A9" t="s">
        <v>131</v>
      </c>
      <c r="B9" s="7">
        <v>10943537</v>
      </c>
      <c r="C9" s="7">
        <v>10279326</v>
      </c>
      <c r="D9" s="8">
        <f t="shared" si="0"/>
        <v>0.57258921839625332</v>
      </c>
      <c r="E9" s="8">
        <f t="shared" si="1"/>
        <v>0.5667457130291198</v>
      </c>
      <c r="F9" s="8">
        <f t="shared" si="2"/>
        <v>6.4616201490253378E-2</v>
      </c>
      <c r="G9" s="7">
        <v>1416503</v>
      </c>
      <c r="H9" s="7">
        <v>1330417</v>
      </c>
      <c r="I9" s="8">
        <f t="shared" si="3"/>
        <v>0.12943740218541774</v>
      </c>
      <c r="J9" s="8">
        <f t="shared" si="4"/>
        <v>0.12942648185299307</v>
      </c>
    </row>
    <row r="10" spans="1:10">
      <c r="A10" t="s">
        <v>132</v>
      </c>
      <c r="B10" s="7">
        <v>903092</v>
      </c>
      <c r="C10" s="7">
        <v>858423</v>
      </c>
      <c r="D10" s="8">
        <f t="shared" si="0"/>
        <v>4.7251701385019232E-2</v>
      </c>
      <c r="E10" s="8">
        <f t="shared" si="1"/>
        <v>4.7328740738020771E-2</v>
      </c>
      <c r="F10" s="8">
        <f t="shared" si="2"/>
        <v>5.2036117392008308E-2</v>
      </c>
      <c r="G10" s="7">
        <v>209838</v>
      </c>
      <c r="H10" s="7">
        <v>191554</v>
      </c>
      <c r="I10" s="8">
        <f t="shared" si="3"/>
        <v>0.23235506460028435</v>
      </c>
      <c r="J10" s="8">
        <f t="shared" si="4"/>
        <v>0.2231463975219676</v>
      </c>
    </row>
    <row r="11" spans="1:10">
      <c r="A11" t="s">
        <v>133</v>
      </c>
      <c r="B11" s="7">
        <v>105116</v>
      </c>
      <c r="C11" s="7">
        <v>187247</v>
      </c>
      <c r="D11" s="8">
        <f t="shared" si="0"/>
        <v>5.4998935244556279E-3</v>
      </c>
      <c r="E11" s="8">
        <f t="shared" si="1"/>
        <v>1.0323773613908498E-2</v>
      </c>
      <c r="F11" s="8">
        <f t="shared" si="2"/>
        <v>-0.43862384978130486</v>
      </c>
      <c r="G11" s="7">
        <v>58451</v>
      </c>
      <c r="H11" s="7">
        <v>112670</v>
      </c>
      <c r="I11" s="8">
        <f t="shared" si="3"/>
        <v>0.55606187450055178</v>
      </c>
      <c r="J11" s="8">
        <f t="shared" si="4"/>
        <v>0.60171858561151847</v>
      </c>
    </row>
    <row r="12" spans="1:10" ht="15">
      <c r="A12" s="10" t="s">
        <v>46</v>
      </c>
      <c r="B12" s="11">
        <v>6204698</v>
      </c>
      <c r="C12" s="11">
        <v>5748658</v>
      </c>
      <c r="D12" s="12">
        <f t="shared" si="0"/>
        <v>0.32464304531567773</v>
      </c>
      <c r="E12" s="12">
        <f t="shared" si="1"/>
        <v>0.31694950400158084</v>
      </c>
      <c r="F12" s="12">
        <f t="shared" si="2"/>
        <v>7.9329819237811572E-2</v>
      </c>
      <c r="G12" s="11">
        <v>440536</v>
      </c>
      <c r="H12" s="11">
        <v>506908</v>
      </c>
      <c r="I12" s="12">
        <f t="shared" si="3"/>
        <v>7.1000393572741169E-2</v>
      </c>
      <c r="J12" s="12">
        <f t="shared" si="4"/>
        <v>8.817849313700693E-2</v>
      </c>
    </row>
    <row r="13" spans="1:10">
      <c r="A13" t="s">
        <v>134</v>
      </c>
      <c r="B13" s="7">
        <v>5627822</v>
      </c>
      <c r="C13" s="7">
        <v>5169132</v>
      </c>
      <c r="D13" s="8">
        <f t="shared" si="0"/>
        <v>0.29445966146532326</v>
      </c>
      <c r="E13" s="8">
        <f t="shared" si="1"/>
        <v>0.28499761570764853</v>
      </c>
      <c r="F13" s="8">
        <f t="shared" si="2"/>
        <v>8.8736368117509956E-2</v>
      </c>
      <c r="G13" s="7">
        <v>412207</v>
      </c>
      <c r="H13" s="7">
        <v>452812</v>
      </c>
      <c r="I13" s="8">
        <f t="shared" si="3"/>
        <v>7.324449849337808E-2</v>
      </c>
      <c r="J13" s="8">
        <f t="shared" si="4"/>
        <v>8.7599233294874262E-2</v>
      </c>
    </row>
    <row r="14" spans="1:10">
      <c r="A14" t="s">
        <v>135</v>
      </c>
      <c r="B14" s="7">
        <v>176985</v>
      </c>
      <c r="C14" s="7">
        <v>219285</v>
      </c>
      <c r="D14" s="8">
        <f t="shared" si="0"/>
        <v>9.260233032324091E-3</v>
      </c>
      <c r="E14" s="8">
        <f t="shared" si="1"/>
        <v>1.2090173390900389E-2</v>
      </c>
      <c r="F14" s="8">
        <f t="shared" si="2"/>
        <v>-0.19289965113892882</v>
      </c>
      <c r="G14" s="7">
        <v>6321</v>
      </c>
      <c r="H14" s="7">
        <v>21333</v>
      </c>
      <c r="I14" s="8">
        <f t="shared" si="3"/>
        <v>3.5714891092465464E-2</v>
      </c>
      <c r="J14" s="8">
        <f t="shared" si="4"/>
        <v>9.7284355975100892E-2</v>
      </c>
    </row>
    <row r="15" spans="1:10">
      <c r="A15" t="s">
        <v>136</v>
      </c>
      <c r="B15" s="7">
        <v>399891</v>
      </c>
      <c r="C15" s="7">
        <v>360241</v>
      </c>
      <c r="D15" s="8">
        <f t="shared" si="0"/>
        <v>2.0923150818030416E-2</v>
      </c>
      <c r="E15" s="8">
        <f t="shared" si="1"/>
        <v>1.9861714903031884E-2</v>
      </c>
      <c r="F15" s="8">
        <f t="shared" si="2"/>
        <v>0.11006520634797257</v>
      </c>
      <c r="G15" s="7">
        <v>22008</v>
      </c>
      <c r="H15" s="7">
        <v>32763</v>
      </c>
      <c r="I15" s="8">
        <f t="shared" si="3"/>
        <v>5.5034997036692498E-2</v>
      </c>
      <c r="J15" s="8">
        <f t="shared" si="4"/>
        <v>9.0947449068817826E-2</v>
      </c>
    </row>
    <row r="16" spans="1:10" ht="15">
      <c r="A16" s="10" t="s">
        <v>380</v>
      </c>
      <c r="B16" s="11">
        <v>955927</v>
      </c>
      <c r="C16" s="11">
        <v>1063803</v>
      </c>
      <c r="D16" s="12">
        <f t="shared" si="0"/>
        <v>5.0016141378594073E-2</v>
      </c>
      <c r="E16" s="12">
        <f t="shared" si="1"/>
        <v>5.8652268617370121E-2</v>
      </c>
      <c r="F16" s="12">
        <f t="shared" si="2"/>
        <v>-0.1014059934029139</v>
      </c>
      <c r="G16" s="11">
        <v>293831</v>
      </c>
      <c r="H16" s="11">
        <v>351324</v>
      </c>
      <c r="I16" s="12">
        <f t="shared" si="3"/>
        <v>0.30737807384873533</v>
      </c>
      <c r="J16" s="12">
        <f t="shared" si="4"/>
        <v>0.3302528757674118</v>
      </c>
    </row>
    <row r="17" spans="1:10">
      <c r="A17" t="s">
        <v>137</v>
      </c>
      <c r="B17" s="7">
        <v>174522</v>
      </c>
      <c r="C17" s="7">
        <v>203719</v>
      </c>
      <c r="D17" s="8">
        <f t="shared" si="0"/>
        <v>9.1313636142456422E-3</v>
      </c>
      <c r="E17" s="8">
        <f t="shared" si="1"/>
        <v>1.123194944032121E-2</v>
      </c>
      <c r="F17" s="8">
        <f t="shared" si="2"/>
        <v>-0.14331996524624602</v>
      </c>
      <c r="G17" s="7">
        <v>22683</v>
      </c>
      <c r="H17" s="7">
        <v>26687</v>
      </c>
      <c r="I17" s="8">
        <f t="shared" si="3"/>
        <v>0.12997215250799327</v>
      </c>
      <c r="J17" s="8">
        <f t="shared" si="4"/>
        <v>0.13099907225148366</v>
      </c>
    </row>
    <row r="18" spans="1:10">
      <c r="A18" t="s">
        <v>138</v>
      </c>
      <c r="B18" s="7">
        <v>781405</v>
      </c>
      <c r="C18" s="7">
        <v>860084</v>
      </c>
      <c r="D18" s="8">
        <f t="shared" si="0"/>
        <v>4.0884777764348429E-2</v>
      </c>
      <c r="E18" s="8">
        <f t="shared" si="1"/>
        <v>4.7420319177048913E-2</v>
      </c>
      <c r="F18" s="8">
        <f t="shared" si="2"/>
        <v>-9.1478274215076705E-2</v>
      </c>
      <c r="G18" s="7">
        <v>271148</v>
      </c>
      <c r="H18" s="7">
        <v>324637</v>
      </c>
      <c r="I18" s="8">
        <f t="shared" si="3"/>
        <v>0.34700059508193576</v>
      </c>
      <c r="J18" s="8">
        <f t="shared" si="4"/>
        <v>0.37744801670534506</v>
      </c>
    </row>
    <row r="19" spans="1:10" ht="15">
      <c r="A19" s="10" t="s">
        <v>48</v>
      </c>
      <c r="B19" s="11">
        <v>19112370</v>
      </c>
      <c r="C19" s="11">
        <v>18137457</v>
      </c>
      <c r="D19" s="12">
        <f t="shared" si="0"/>
        <v>1</v>
      </c>
      <c r="E19" s="12">
        <f t="shared" si="1"/>
        <v>1</v>
      </c>
      <c r="F19" s="12">
        <f t="shared" si="2"/>
        <v>5.3751361064563685E-2</v>
      </c>
      <c r="G19" s="11">
        <v>2419159</v>
      </c>
      <c r="H19" s="11">
        <v>2492873</v>
      </c>
      <c r="I19" s="12">
        <f t="shared" si="3"/>
        <v>0.12657556336550621</v>
      </c>
      <c r="J19" s="12">
        <f t="shared" si="4"/>
        <v>0.13744335823925041</v>
      </c>
    </row>
    <row r="21" spans="1:10">
      <c r="A21" t="s">
        <v>377</v>
      </c>
      <c r="B21" s="36">
        <f>B9+B13+B15</f>
        <v>16971250</v>
      </c>
      <c r="C21" s="36">
        <f t="shared" ref="C21:J21" si="5">C9+C13+C15</f>
        <v>15808699</v>
      </c>
      <c r="D21" s="36">
        <f t="shared" si="5"/>
        <v>0.88797203067960695</v>
      </c>
      <c r="E21" s="36">
        <f t="shared" si="5"/>
        <v>0.87160504363980029</v>
      </c>
      <c r="F21" s="36">
        <f t="shared" si="5"/>
        <v>0.2634177759557359</v>
      </c>
      <c r="G21" s="36">
        <f t="shared" si="5"/>
        <v>1850718</v>
      </c>
      <c r="H21" s="36">
        <f t="shared" si="5"/>
        <v>1815992</v>
      </c>
      <c r="I21" s="36">
        <f t="shared" si="5"/>
        <v>0.25771689771548834</v>
      </c>
      <c r="J21" s="36">
        <f t="shared" si="5"/>
        <v>0.30797316421668519</v>
      </c>
    </row>
    <row r="22" spans="1:10">
      <c r="A22" t="s">
        <v>378</v>
      </c>
      <c r="B22" s="36">
        <f>B10+B11</f>
        <v>1008208</v>
      </c>
      <c r="C22" s="36">
        <f t="shared" ref="C22:J22" si="6">C10+C11</f>
        <v>1045670</v>
      </c>
      <c r="D22" s="36">
        <f t="shared" si="6"/>
        <v>5.2751594909474862E-2</v>
      </c>
      <c r="E22" s="36">
        <f t="shared" si="6"/>
        <v>5.7652514351929265E-2</v>
      </c>
      <c r="F22" s="36">
        <f t="shared" si="6"/>
        <v>-0.38658773238929656</v>
      </c>
      <c r="G22" s="36">
        <f t="shared" si="6"/>
        <v>268289</v>
      </c>
      <c r="H22" s="36">
        <f t="shared" si="6"/>
        <v>304224</v>
      </c>
      <c r="I22" s="36">
        <f t="shared" si="6"/>
        <v>0.7884169391008361</v>
      </c>
      <c r="J22" s="36">
        <f t="shared" si="6"/>
        <v>0.82486498313348611</v>
      </c>
    </row>
    <row r="23" spans="1:10">
      <c r="A23" t="s">
        <v>379</v>
      </c>
      <c r="B23" s="36">
        <f>B14</f>
        <v>176985</v>
      </c>
      <c r="C23" s="36">
        <f t="shared" ref="C23:J23" si="7">C14</f>
        <v>219285</v>
      </c>
      <c r="D23" s="36">
        <f t="shared" si="7"/>
        <v>9.260233032324091E-3</v>
      </c>
      <c r="E23" s="36">
        <f t="shared" si="7"/>
        <v>1.2090173390900389E-2</v>
      </c>
      <c r="F23" s="36">
        <f t="shared" si="7"/>
        <v>-0.19289965113892882</v>
      </c>
      <c r="G23" s="36">
        <f t="shared" si="7"/>
        <v>6321</v>
      </c>
      <c r="H23" s="36">
        <f t="shared" si="7"/>
        <v>21333</v>
      </c>
      <c r="I23" s="36">
        <f t="shared" si="7"/>
        <v>3.5714891092465464E-2</v>
      </c>
      <c r="J23" s="36">
        <f t="shared" si="7"/>
        <v>9.7284355975100892E-2</v>
      </c>
    </row>
    <row r="24" spans="1:10">
      <c r="A24" t="s">
        <v>381</v>
      </c>
      <c r="B24" s="36">
        <f>B16</f>
        <v>955927</v>
      </c>
      <c r="C24" s="36">
        <f t="shared" ref="C24:J24" si="8">C16</f>
        <v>1063803</v>
      </c>
      <c r="D24" s="36">
        <f t="shared" si="8"/>
        <v>5.0016141378594073E-2</v>
      </c>
      <c r="E24" s="36">
        <f t="shared" si="8"/>
        <v>5.8652268617370121E-2</v>
      </c>
      <c r="F24" s="36">
        <f t="shared" si="8"/>
        <v>-0.1014059934029139</v>
      </c>
      <c r="G24" s="36">
        <f t="shared" si="8"/>
        <v>293831</v>
      </c>
      <c r="H24" s="36">
        <f t="shared" si="8"/>
        <v>351324</v>
      </c>
      <c r="I24" s="36">
        <f t="shared" si="8"/>
        <v>0.30737807384873533</v>
      </c>
      <c r="J24" s="36">
        <f t="shared" si="8"/>
        <v>0.3302528757674118</v>
      </c>
    </row>
    <row r="26" spans="1:10" ht="21.95" customHeight="1">
      <c r="A26" s="40" t="s">
        <v>139</v>
      </c>
      <c r="B26" s="40" t="s">
        <v>139</v>
      </c>
      <c r="C26" s="40" t="s">
        <v>139</v>
      </c>
      <c r="D26" s="40" t="s">
        <v>139</v>
      </c>
      <c r="E26" s="40" t="s">
        <v>139</v>
      </c>
      <c r="F26" s="40" t="s">
        <v>139</v>
      </c>
      <c r="G26" s="40" t="s">
        <v>139</v>
      </c>
      <c r="H26" s="40" t="s">
        <v>139</v>
      </c>
      <c r="I26" s="40" t="s">
        <v>139</v>
      </c>
      <c r="J26" s="40" t="s">
        <v>139</v>
      </c>
    </row>
    <row r="27" spans="1:10" ht="27.95" customHeight="1">
      <c r="A27" s="3" t="s">
        <v>140</v>
      </c>
      <c r="B27" s="3" t="s">
        <v>7</v>
      </c>
      <c r="C27" s="3" t="s">
        <v>44</v>
      </c>
      <c r="D27" s="3" t="s">
        <v>52</v>
      </c>
      <c r="E27" s="3" t="s">
        <v>10</v>
      </c>
      <c r="F27" s="3" t="s">
        <v>12</v>
      </c>
      <c r="G27" s="3"/>
      <c r="H27" s="3"/>
      <c r="I27" s="3"/>
      <c r="J27" s="3"/>
    </row>
    <row r="28" spans="1:10">
      <c r="A28" t="s">
        <v>141</v>
      </c>
      <c r="B28" s="7">
        <v>551709</v>
      </c>
      <c r="C28" s="7">
        <v>597029</v>
      </c>
      <c r="D28" s="7">
        <f>B28-C28</f>
        <v>-45320</v>
      </c>
      <c r="E28" s="8">
        <f>B28/C28-1</f>
        <v>-7.5909210440363917E-2</v>
      </c>
      <c r="F28" t="s">
        <v>142</v>
      </c>
    </row>
    <row r="29" spans="1:10">
      <c r="A29" t="s">
        <v>143</v>
      </c>
      <c r="B29" s="7">
        <v>18560661</v>
      </c>
      <c r="C29" s="7">
        <v>17540428</v>
      </c>
      <c r="D29" s="7">
        <f>B29-C29</f>
        <v>1020233</v>
      </c>
      <c r="E29" s="8">
        <f>B29/C29-1</f>
        <v>5.8164658239810318E-2</v>
      </c>
      <c r="F29" t="s">
        <v>142</v>
      </c>
    </row>
    <row r="30" spans="1:10" ht="15">
      <c r="A30" s="10" t="s">
        <v>144</v>
      </c>
      <c r="B30" s="11">
        <v>19112370</v>
      </c>
      <c r="C30" s="11">
        <v>18137457</v>
      </c>
      <c r="D30" s="11">
        <f>B30-C30</f>
        <v>974913</v>
      </c>
      <c r="E30" s="12">
        <f>B30/C30-1</f>
        <v>5.3751361064563685E-2</v>
      </c>
      <c r="F30" s="10" t="s">
        <v>142</v>
      </c>
    </row>
  </sheetData>
  <mergeCells count="3">
    <mergeCell ref="A1:J1"/>
    <mergeCell ref="A2:H2"/>
    <mergeCell ref="A26:J26"/>
  </mergeCells>
  <phoneticPr fontId="15"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3"/>
  <sheetViews>
    <sheetView showGridLines="0" workbookViewId="0">
      <selection sqref="A1:F1"/>
    </sheetView>
  </sheetViews>
  <sheetFormatPr defaultRowHeight="14.25"/>
  <cols>
    <col min="1" max="1" width="48" customWidth="1"/>
    <col min="2" max="4" width="16" customWidth="1"/>
    <col min="5" max="6" width="14" customWidth="1"/>
  </cols>
  <sheetData>
    <row r="1" spans="1:8" ht="30" customHeight="1">
      <c r="A1" s="37" t="s">
        <v>145</v>
      </c>
      <c r="B1" s="37" t="s">
        <v>145</v>
      </c>
      <c r="C1" s="37" t="s">
        <v>145</v>
      </c>
      <c r="D1" s="37" t="s">
        <v>145</v>
      </c>
      <c r="E1" s="37" t="s">
        <v>145</v>
      </c>
      <c r="F1" s="37" t="s">
        <v>145</v>
      </c>
    </row>
    <row r="2" spans="1:8" ht="24.95" customHeight="1">
      <c r="A2" s="38" t="s">
        <v>50</v>
      </c>
      <c r="B2" s="38" t="s">
        <v>50</v>
      </c>
      <c r="C2" s="38" t="s">
        <v>50</v>
      </c>
      <c r="D2" s="38" t="s">
        <v>50</v>
      </c>
      <c r="E2" s="38" t="s">
        <v>50</v>
      </c>
      <c r="F2" s="38" t="s">
        <v>50</v>
      </c>
      <c r="G2" s="38" t="s">
        <v>50</v>
      </c>
      <c r="H2" s="38" t="s">
        <v>50</v>
      </c>
    </row>
    <row r="5" spans="1:8" ht="27.95" customHeight="1">
      <c r="A5" s="3" t="s">
        <v>146</v>
      </c>
      <c r="B5" s="3" t="s">
        <v>7</v>
      </c>
      <c r="C5" s="3" t="s">
        <v>44</v>
      </c>
      <c r="D5" s="3" t="s">
        <v>52</v>
      </c>
      <c r="E5" s="3" t="s">
        <v>10</v>
      </c>
      <c r="F5" s="3" t="s">
        <v>12</v>
      </c>
    </row>
    <row r="7" spans="1:8" ht="15">
      <c r="A7" s="24" t="s">
        <v>147</v>
      </c>
      <c r="B7" s="25"/>
      <c r="C7" s="25"/>
      <c r="D7" s="25" t="str">
        <f t="shared" ref="D7:D33" si="0">IF(OR(B7="",C7=""),"",B7-C7)</f>
        <v/>
      </c>
      <c r="E7" s="26" t="str">
        <f t="shared" ref="E7:E33" si="1">IFERROR(B7/C7-1,"")</f>
        <v/>
      </c>
      <c r="F7" s="27"/>
    </row>
    <row r="8" spans="1:8">
      <c r="A8" t="s">
        <v>131</v>
      </c>
      <c r="B8" s="7">
        <v>10797984</v>
      </c>
      <c r="C8" s="7">
        <v>10079737</v>
      </c>
      <c r="D8" s="7">
        <f t="shared" si="0"/>
        <v>718247</v>
      </c>
      <c r="E8" s="8">
        <f t="shared" si="1"/>
        <v>7.1256521871552847E-2</v>
      </c>
      <c r="F8" s="13" t="s">
        <v>148</v>
      </c>
    </row>
    <row r="9" spans="1:8">
      <c r="A9" t="s">
        <v>134</v>
      </c>
      <c r="B9" s="7">
        <v>5238913</v>
      </c>
      <c r="C9" s="7">
        <v>4724735</v>
      </c>
      <c r="D9" s="7">
        <f t="shared" si="0"/>
        <v>514178</v>
      </c>
      <c r="E9" s="8">
        <f t="shared" si="1"/>
        <v>0.10882684425687361</v>
      </c>
      <c r="F9" s="13" t="s">
        <v>148</v>
      </c>
    </row>
    <row r="10" spans="1:8">
      <c r="A10" t="s">
        <v>138</v>
      </c>
      <c r="B10" s="7">
        <v>643345</v>
      </c>
      <c r="C10" s="7">
        <v>617644</v>
      </c>
      <c r="D10" s="7">
        <f t="shared" si="0"/>
        <v>25701</v>
      </c>
      <c r="E10" s="8">
        <f t="shared" si="1"/>
        <v>4.161134893239482E-2</v>
      </c>
      <c r="F10" s="13" t="s">
        <v>148</v>
      </c>
    </row>
    <row r="11" spans="1:8" ht="15">
      <c r="A11" s="10" t="s">
        <v>149</v>
      </c>
      <c r="B11" s="11">
        <v>16680242</v>
      </c>
      <c r="C11" s="11">
        <v>15422116</v>
      </c>
      <c r="D11" s="11">
        <f t="shared" si="0"/>
        <v>1258126</v>
      </c>
      <c r="E11" s="12">
        <f t="shared" si="1"/>
        <v>8.157933710263876E-2</v>
      </c>
      <c r="F11" s="14" t="s">
        <v>148</v>
      </c>
    </row>
    <row r="12" spans="1:8" ht="15">
      <c r="A12" s="24" t="s">
        <v>150</v>
      </c>
      <c r="B12" s="25"/>
      <c r="C12" s="25"/>
      <c r="D12" s="25" t="str">
        <f t="shared" si="0"/>
        <v/>
      </c>
      <c r="E12" s="26" t="str">
        <f t="shared" si="1"/>
        <v/>
      </c>
      <c r="F12" s="27"/>
    </row>
    <row r="13" spans="1:8">
      <c r="A13" t="s">
        <v>132</v>
      </c>
      <c r="B13" s="7">
        <v>871866</v>
      </c>
      <c r="C13" s="7">
        <v>763107</v>
      </c>
      <c r="D13" s="7">
        <f t="shared" si="0"/>
        <v>108759</v>
      </c>
      <c r="E13" s="8">
        <f t="shared" si="1"/>
        <v>0.14252129779965328</v>
      </c>
      <c r="F13" s="13" t="s">
        <v>148</v>
      </c>
    </row>
    <row r="14" spans="1:8">
      <c r="A14" t="s">
        <v>137</v>
      </c>
      <c r="B14" s="7">
        <v>124479</v>
      </c>
      <c r="C14" s="7">
        <v>89562</v>
      </c>
      <c r="D14" s="7">
        <f t="shared" si="0"/>
        <v>34917</v>
      </c>
      <c r="E14" s="8">
        <f t="shared" si="1"/>
        <v>0.38986400482347427</v>
      </c>
      <c r="F14" s="13" t="s">
        <v>148</v>
      </c>
    </row>
    <row r="15" spans="1:8" ht="15">
      <c r="A15" s="10" t="s">
        <v>151</v>
      </c>
      <c r="B15" s="11">
        <v>17676587</v>
      </c>
      <c r="C15" s="11">
        <v>16274785</v>
      </c>
      <c r="D15" s="11">
        <f t="shared" si="0"/>
        <v>1401802</v>
      </c>
      <c r="E15" s="12">
        <f t="shared" si="1"/>
        <v>8.6133365202673895E-2</v>
      </c>
      <c r="F15" s="14" t="s">
        <v>148</v>
      </c>
    </row>
    <row r="16" spans="1:8" ht="15">
      <c r="A16" s="24" t="s">
        <v>152</v>
      </c>
      <c r="B16" s="25"/>
      <c r="C16" s="25"/>
      <c r="D16" s="25" t="str">
        <f t="shared" si="0"/>
        <v/>
      </c>
      <c r="E16" s="26" t="str">
        <f t="shared" si="1"/>
        <v/>
      </c>
      <c r="F16" s="27"/>
    </row>
    <row r="17" spans="1:6">
      <c r="A17" t="s">
        <v>133</v>
      </c>
      <c r="B17" s="7">
        <v>74833</v>
      </c>
      <c r="C17" s="7">
        <v>182187</v>
      </c>
      <c r="D17" s="7">
        <f t="shared" si="0"/>
        <v>-107354</v>
      </c>
      <c r="E17" s="8">
        <f t="shared" si="1"/>
        <v>-0.58925170292062545</v>
      </c>
      <c r="F17" s="13" t="s">
        <v>148</v>
      </c>
    </row>
    <row r="18" spans="1:6">
      <c r="A18" t="s">
        <v>136</v>
      </c>
      <c r="B18" s="7">
        <v>382736</v>
      </c>
      <c r="C18" s="7">
        <v>339555</v>
      </c>
      <c r="D18" s="7">
        <f t="shared" si="0"/>
        <v>43181</v>
      </c>
      <c r="E18" s="8">
        <f t="shared" si="1"/>
        <v>0.12716938345776096</v>
      </c>
      <c r="F18" s="13" t="s">
        <v>148</v>
      </c>
    </row>
    <row r="19" spans="1:6" ht="15">
      <c r="A19" s="10" t="s">
        <v>153</v>
      </c>
      <c r="B19" s="11">
        <v>457569</v>
      </c>
      <c r="C19" s="11">
        <v>521742</v>
      </c>
      <c r="D19" s="11">
        <f t="shared" si="0"/>
        <v>-64173</v>
      </c>
      <c r="E19" s="12">
        <f t="shared" si="1"/>
        <v>-0.12299757351334573</v>
      </c>
      <c r="F19" s="14" t="s">
        <v>148</v>
      </c>
    </row>
    <row r="20" spans="1:6" ht="15">
      <c r="A20" s="10" t="s">
        <v>154</v>
      </c>
      <c r="B20" s="11">
        <v>18134156</v>
      </c>
      <c r="C20" s="11">
        <v>16796527</v>
      </c>
      <c r="D20" s="11">
        <f t="shared" si="0"/>
        <v>1337629</v>
      </c>
      <c r="E20" s="12">
        <f t="shared" si="1"/>
        <v>7.963723691213076E-2</v>
      </c>
      <c r="F20" s="14" t="s">
        <v>148</v>
      </c>
    </row>
    <row r="21" spans="1:6">
      <c r="A21" t="s">
        <v>155</v>
      </c>
      <c r="B21" s="7">
        <v>1883920</v>
      </c>
      <c r="C21" s="7">
        <v>1797027</v>
      </c>
      <c r="D21" s="7">
        <f t="shared" si="0"/>
        <v>86893</v>
      </c>
      <c r="E21" s="8">
        <f t="shared" si="1"/>
        <v>4.8353753171209934E-2</v>
      </c>
      <c r="F21" s="13" t="s">
        <v>28</v>
      </c>
    </row>
    <row r="22" spans="1:6">
      <c r="A22" t="s">
        <v>156</v>
      </c>
      <c r="B22" s="7">
        <v>2104051</v>
      </c>
      <c r="C22" s="7">
        <v>1961440</v>
      </c>
      <c r="D22" s="7">
        <f t="shared" si="0"/>
        <v>142611</v>
      </c>
      <c r="E22" s="8">
        <f t="shared" si="1"/>
        <v>7.2707296679990208E-2</v>
      </c>
      <c r="F22" s="13" t="s">
        <v>28</v>
      </c>
    </row>
    <row r="23" spans="1:6">
      <c r="A23" t="s">
        <v>157</v>
      </c>
      <c r="B23" s="7">
        <v>62548</v>
      </c>
      <c r="C23" s="7">
        <v>143210</v>
      </c>
      <c r="D23" s="7">
        <f t="shared" si="0"/>
        <v>-80662</v>
      </c>
      <c r="E23" s="8">
        <f t="shared" si="1"/>
        <v>-0.56324279030793933</v>
      </c>
      <c r="F23" s="13" t="s">
        <v>28</v>
      </c>
    </row>
    <row r="24" spans="1:6" ht="15">
      <c r="A24" s="10" t="s">
        <v>158</v>
      </c>
      <c r="B24" s="11">
        <v>2166599</v>
      </c>
      <c r="C24" s="11">
        <v>2104650</v>
      </c>
      <c r="D24" s="11">
        <f t="shared" si="0"/>
        <v>61949</v>
      </c>
      <c r="E24" s="12">
        <f t="shared" si="1"/>
        <v>2.9434347753783285E-2</v>
      </c>
      <c r="F24" s="14" t="s">
        <v>28</v>
      </c>
    </row>
    <row r="25" spans="1:6" ht="15">
      <c r="A25" s="10" t="s">
        <v>56</v>
      </c>
      <c r="B25" s="11">
        <v>-271918</v>
      </c>
      <c r="C25" s="11">
        <v>-298494</v>
      </c>
      <c r="D25" s="11">
        <f t="shared" si="0"/>
        <v>26576</v>
      </c>
      <c r="E25" s="12">
        <f t="shared" si="1"/>
        <v>-8.9033615416055256E-2</v>
      </c>
      <c r="F25" s="14" t="s">
        <v>28</v>
      </c>
    </row>
    <row r="26" spans="1:6">
      <c r="A26" t="s">
        <v>57</v>
      </c>
      <c r="B26" s="7">
        <v>-807901</v>
      </c>
      <c r="C26" s="7">
        <v>-831889</v>
      </c>
      <c r="D26" s="7">
        <f t="shared" si="0"/>
        <v>23988</v>
      </c>
      <c r="E26" s="8">
        <f t="shared" si="1"/>
        <v>-2.8835577823483671E-2</v>
      </c>
      <c r="F26" s="13" t="s">
        <v>28</v>
      </c>
    </row>
    <row r="27" spans="1:6">
      <c r="A27" t="s">
        <v>159</v>
      </c>
      <c r="B27" s="7">
        <v>-144985</v>
      </c>
      <c r="C27" s="7">
        <v>-110550</v>
      </c>
      <c r="D27" s="7">
        <f t="shared" si="0"/>
        <v>-34435</v>
      </c>
      <c r="E27" s="8">
        <f t="shared" si="1"/>
        <v>0.31148801447308916</v>
      </c>
      <c r="F27" s="13" t="s">
        <v>28</v>
      </c>
    </row>
    <row r="28" spans="1:6">
      <c r="A28" t="s">
        <v>62</v>
      </c>
      <c r="B28" s="7">
        <v>-229276</v>
      </c>
      <c r="C28" s="7">
        <v>-187070</v>
      </c>
      <c r="D28" s="7">
        <f t="shared" si="0"/>
        <v>-42206</v>
      </c>
      <c r="E28" s="8">
        <f t="shared" si="1"/>
        <v>0.22561607954241736</v>
      </c>
      <c r="F28" s="13" t="s">
        <v>28</v>
      </c>
    </row>
    <row r="29" spans="1:6" ht="15">
      <c r="A29" s="10" t="s">
        <v>160</v>
      </c>
      <c r="B29" s="11">
        <v>712519</v>
      </c>
      <c r="C29" s="11">
        <v>676647</v>
      </c>
      <c r="D29" s="11">
        <f t="shared" si="0"/>
        <v>35872</v>
      </c>
      <c r="E29" s="12">
        <f t="shared" si="1"/>
        <v>5.3014348692893121E-2</v>
      </c>
      <c r="F29" s="14" t="s">
        <v>28</v>
      </c>
    </row>
    <row r="30" spans="1:6">
      <c r="A30" t="s">
        <v>161</v>
      </c>
      <c r="B30" s="7">
        <v>239755</v>
      </c>
      <c r="C30" s="7">
        <v>237002</v>
      </c>
      <c r="D30" s="7">
        <f t="shared" si="0"/>
        <v>2753</v>
      </c>
      <c r="E30" s="8">
        <f t="shared" si="1"/>
        <v>1.1615935730500127E-2</v>
      </c>
      <c r="F30" s="13" t="s">
        <v>28</v>
      </c>
    </row>
    <row r="31" spans="1:6">
      <c r="A31" t="s">
        <v>162</v>
      </c>
      <c r="B31" s="7">
        <v>185438</v>
      </c>
      <c r="C31" s="7">
        <v>156327</v>
      </c>
      <c r="D31" s="7">
        <f t="shared" si="0"/>
        <v>29111</v>
      </c>
      <c r="E31" s="8">
        <f t="shared" si="1"/>
        <v>0.18621863145841733</v>
      </c>
      <c r="F31" s="13" t="s">
        <v>28</v>
      </c>
    </row>
    <row r="32" spans="1:6">
      <c r="A32" t="s">
        <v>163</v>
      </c>
      <c r="B32" s="7">
        <v>-38443</v>
      </c>
      <c r="C32" s="7">
        <v>-45786</v>
      </c>
      <c r="D32" s="7">
        <f t="shared" si="0"/>
        <v>7343</v>
      </c>
      <c r="E32" s="8">
        <f t="shared" si="1"/>
        <v>-0.16037653431179832</v>
      </c>
      <c r="F32" s="13" t="s">
        <v>28</v>
      </c>
    </row>
    <row r="33" spans="1:6" ht="15">
      <c r="A33" s="10" t="s">
        <v>164</v>
      </c>
      <c r="B33" s="11">
        <v>1099269</v>
      </c>
      <c r="C33" s="11">
        <v>1024190</v>
      </c>
      <c r="D33" s="11">
        <f t="shared" si="0"/>
        <v>75079</v>
      </c>
      <c r="E33" s="12">
        <f t="shared" si="1"/>
        <v>7.3305734287583357E-2</v>
      </c>
      <c r="F33" s="14" t="s">
        <v>28</v>
      </c>
    </row>
  </sheetData>
  <mergeCells count="2">
    <mergeCell ref="A1:F1"/>
    <mergeCell ref="A2:H2"/>
  </mergeCells>
  <phoneticPr fontId="15"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showGridLines="0" workbookViewId="0"/>
  </sheetViews>
  <sheetFormatPr defaultRowHeight="14.25"/>
  <cols>
    <col min="1" max="1" width="20" customWidth="1"/>
    <col min="2" max="2" width="38" customWidth="1"/>
    <col min="3" max="5" width="16" customWidth="1"/>
    <col min="6" max="6" width="20" customWidth="1"/>
    <col min="7" max="7" width="14" customWidth="1"/>
  </cols>
  <sheetData>
    <row r="1" spans="1:8" ht="30" customHeight="1">
      <c r="A1" s="37" t="s">
        <v>165</v>
      </c>
      <c r="B1" s="37" t="s">
        <v>165</v>
      </c>
      <c r="C1" s="37" t="s">
        <v>165</v>
      </c>
      <c r="D1" s="37" t="s">
        <v>165</v>
      </c>
      <c r="E1" s="37" t="s">
        <v>165</v>
      </c>
      <c r="F1" s="37" t="s">
        <v>165</v>
      </c>
      <c r="G1" s="37" t="s">
        <v>165</v>
      </c>
    </row>
    <row r="2" spans="1:8" ht="24.95" customHeight="1">
      <c r="A2" s="38" t="s">
        <v>166</v>
      </c>
      <c r="B2" s="38" t="s">
        <v>166</v>
      </c>
      <c r="C2" s="38" t="s">
        <v>166</v>
      </c>
      <c r="D2" s="38" t="s">
        <v>166</v>
      </c>
      <c r="E2" s="38" t="s">
        <v>166</v>
      </c>
      <c r="F2" s="38" t="s">
        <v>166</v>
      </c>
      <c r="G2" s="38" t="s">
        <v>166</v>
      </c>
      <c r="H2" s="38" t="s">
        <v>166</v>
      </c>
    </row>
    <row r="5" spans="1:8" ht="27.95" customHeight="1">
      <c r="A5" s="3" t="s">
        <v>167</v>
      </c>
      <c r="B5" s="3" t="s">
        <v>6</v>
      </c>
      <c r="C5" s="3" t="s">
        <v>168</v>
      </c>
      <c r="D5" s="3" t="s">
        <v>8</v>
      </c>
      <c r="E5" s="3" t="s">
        <v>169</v>
      </c>
      <c r="F5" s="3" t="s">
        <v>11</v>
      </c>
      <c r="G5" s="3" t="s">
        <v>12</v>
      </c>
    </row>
    <row r="7" spans="1:8">
      <c r="A7" t="s">
        <v>170</v>
      </c>
      <c r="B7" t="s">
        <v>171</v>
      </c>
      <c r="C7" s="28">
        <v>34891.800000000003</v>
      </c>
      <c r="D7" s="28">
        <v>33791.1</v>
      </c>
      <c r="E7" s="8">
        <f t="shared" ref="E7:E30" si="0">IF(D7="","",IF(F7="%",C7-D7,C7/D7-1))</f>
        <v>3.2573665846924227E-2</v>
      </c>
      <c r="F7" t="s">
        <v>172</v>
      </c>
      <c r="G7" s="13" t="s">
        <v>173</v>
      </c>
    </row>
    <row r="8" spans="1:8">
      <c r="A8" t="s">
        <v>170</v>
      </c>
      <c r="B8" t="s">
        <v>174</v>
      </c>
      <c r="C8" s="28">
        <v>5445</v>
      </c>
      <c r="D8" s="28">
        <v>5178</v>
      </c>
      <c r="E8" s="8">
        <f t="shared" si="0"/>
        <v>5.1564310544611747E-2</v>
      </c>
      <c r="F8" t="s">
        <v>175</v>
      </c>
      <c r="G8" s="13" t="s">
        <v>173</v>
      </c>
    </row>
    <row r="9" spans="1:8">
      <c r="A9" t="s">
        <v>170</v>
      </c>
      <c r="B9" t="s">
        <v>176</v>
      </c>
      <c r="C9" s="28">
        <v>29556.6</v>
      </c>
      <c r="D9" s="28">
        <v>28133.5</v>
      </c>
      <c r="E9" s="8">
        <f t="shared" si="0"/>
        <v>5.058382355554758E-2</v>
      </c>
      <c r="F9" t="s">
        <v>172</v>
      </c>
      <c r="G9" s="13" t="s">
        <v>173</v>
      </c>
    </row>
    <row r="10" spans="1:8">
      <c r="A10" t="s">
        <v>170</v>
      </c>
      <c r="B10" t="s">
        <v>177</v>
      </c>
      <c r="C10" s="28">
        <v>4680</v>
      </c>
      <c r="D10" s="28">
        <v>4408</v>
      </c>
      <c r="E10" s="8">
        <f t="shared" si="0"/>
        <v>6.1705989110707904E-2</v>
      </c>
      <c r="F10" t="s">
        <v>175</v>
      </c>
      <c r="G10" s="13" t="s">
        <v>173</v>
      </c>
    </row>
    <row r="11" spans="1:8">
      <c r="A11" t="s">
        <v>178</v>
      </c>
      <c r="B11" t="s">
        <v>171</v>
      </c>
      <c r="C11" s="28">
        <v>22303.200000000001</v>
      </c>
      <c r="D11" s="28">
        <v>19837.900000000001</v>
      </c>
      <c r="E11" s="8">
        <f t="shared" si="0"/>
        <v>0.12427222639493096</v>
      </c>
      <c r="F11" t="s">
        <v>172</v>
      </c>
      <c r="G11" s="13" t="s">
        <v>179</v>
      </c>
    </row>
    <row r="12" spans="1:8">
      <c r="A12" t="s">
        <v>178</v>
      </c>
      <c r="B12" t="s">
        <v>174</v>
      </c>
      <c r="C12" s="28">
        <v>3543</v>
      </c>
      <c r="D12" s="28">
        <v>3284</v>
      </c>
      <c r="E12" s="8">
        <f t="shared" si="0"/>
        <v>7.8867235079171705E-2</v>
      </c>
      <c r="F12" t="s">
        <v>175</v>
      </c>
      <c r="G12" s="13" t="s">
        <v>179</v>
      </c>
    </row>
    <row r="13" spans="1:8">
      <c r="A13" t="s">
        <v>178</v>
      </c>
      <c r="B13" t="s">
        <v>176</v>
      </c>
      <c r="C13" s="28">
        <v>17285.3</v>
      </c>
      <c r="D13" s="28">
        <v>15700</v>
      </c>
      <c r="E13" s="8">
        <f t="shared" si="0"/>
        <v>0.10097452229299364</v>
      </c>
      <c r="F13" t="s">
        <v>172</v>
      </c>
      <c r="G13" s="13" t="s">
        <v>179</v>
      </c>
    </row>
    <row r="14" spans="1:8">
      <c r="A14" t="s">
        <v>178</v>
      </c>
      <c r="B14" t="s">
        <v>177</v>
      </c>
      <c r="C14" s="28">
        <v>2610</v>
      </c>
      <c r="D14" s="28">
        <v>2585</v>
      </c>
      <c r="E14" s="8">
        <f t="shared" si="0"/>
        <v>9.6711798839459462E-3</v>
      </c>
      <c r="F14" t="s">
        <v>175</v>
      </c>
      <c r="G14" s="13" t="s">
        <v>179</v>
      </c>
    </row>
    <row r="15" spans="1:8">
      <c r="A15" t="s">
        <v>180</v>
      </c>
      <c r="B15" t="s">
        <v>181</v>
      </c>
      <c r="C15" s="28">
        <v>207</v>
      </c>
      <c r="D15" s="28"/>
      <c r="E15" s="8" t="str">
        <f t="shared" si="0"/>
        <v/>
      </c>
      <c r="F15" t="s">
        <v>175</v>
      </c>
      <c r="G15" s="13" t="s">
        <v>182</v>
      </c>
    </row>
    <row r="16" spans="1:8">
      <c r="A16" t="s">
        <v>180</v>
      </c>
      <c r="B16" t="s">
        <v>183</v>
      </c>
      <c r="C16" s="28">
        <v>835</v>
      </c>
      <c r="D16" s="28"/>
      <c r="E16" s="8" t="str">
        <f t="shared" si="0"/>
        <v/>
      </c>
      <c r="F16" t="s">
        <v>172</v>
      </c>
      <c r="G16" s="13" t="s">
        <v>182</v>
      </c>
    </row>
    <row r="17" spans="1:7">
      <c r="A17" t="s">
        <v>180</v>
      </c>
      <c r="B17" t="s">
        <v>184</v>
      </c>
      <c r="C17" s="28">
        <v>139</v>
      </c>
      <c r="D17" s="28"/>
      <c r="E17" s="8" t="str">
        <f t="shared" si="0"/>
        <v/>
      </c>
      <c r="F17" t="s">
        <v>175</v>
      </c>
      <c r="G17" s="13" t="s">
        <v>182</v>
      </c>
    </row>
    <row r="18" spans="1:7">
      <c r="A18" t="s">
        <v>180</v>
      </c>
      <c r="B18" t="s">
        <v>185</v>
      </c>
      <c r="C18" s="28">
        <v>742.7</v>
      </c>
      <c r="D18" s="28"/>
      <c r="E18" s="8" t="str">
        <f t="shared" si="0"/>
        <v/>
      </c>
      <c r="F18" t="s">
        <v>172</v>
      </c>
      <c r="G18" s="13" t="s">
        <v>182</v>
      </c>
    </row>
    <row r="19" spans="1:7">
      <c r="A19" t="s">
        <v>180</v>
      </c>
      <c r="B19" t="s">
        <v>186</v>
      </c>
      <c r="C19" s="28">
        <v>708</v>
      </c>
      <c r="D19" s="28"/>
      <c r="E19" s="8" t="str">
        <f t="shared" si="0"/>
        <v/>
      </c>
      <c r="F19" t="s">
        <v>175</v>
      </c>
      <c r="G19" s="13" t="s">
        <v>182</v>
      </c>
    </row>
    <row r="20" spans="1:7">
      <c r="A20" t="s">
        <v>187</v>
      </c>
      <c r="B20" t="s">
        <v>188</v>
      </c>
      <c r="C20" s="28">
        <v>189</v>
      </c>
      <c r="D20" s="28"/>
      <c r="E20" s="8" t="str">
        <f t="shared" si="0"/>
        <v/>
      </c>
      <c r="F20" t="s">
        <v>172</v>
      </c>
      <c r="G20" s="13" t="s">
        <v>189</v>
      </c>
    </row>
    <row r="21" spans="1:7">
      <c r="A21" t="s">
        <v>187</v>
      </c>
      <c r="B21" t="s">
        <v>190</v>
      </c>
      <c r="C21" s="28">
        <v>6429</v>
      </c>
      <c r="D21" s="28"/>
      <c r="E21" s="8" t="str">
        <f t="shared" si="0"/>
        <v/>
      </c>
      <c r="F21" t="s">
        <v>191</v>
      </c>
      <c r="G21" s="13" t="s">
        <v>189</v>
      </c>
    </row>
    <row r="22" spans="1:7">
      <c r="A22" t="s">
        <v>187</v>
      </c>
      <c r="B22" t="s">
        <v>192</v>
      </c>
      <c r="C22" s="28">
        <v>313</v>
      </c>
      <c r="D22" s="28"/>
      <c r="E22" s="8" t="str">
        <f t="shared" si="0"/>
        <v/>
      </c>
      <c r="F22" t="s">
        <v>172</v>
      </c>
      <c r="G22" s="13" t="s">
        <v>189</v>
      </c>
    </row>
    <row r="23" spans="1:7">
      <c r="A23" t="s">
        <v>193</v>
      </c>
      <c r="B23" t="s">
        <v>194</v>
      </c>
      <c r="C23" s="28">
        <v>103982</v>
      </c>
      <c r="D23" s="28">
        <v>108745</v>
      </c>
      <c r="E23" s="8">
        <f t="shared" si="0"/>
        <v>-4.3799714929422029E-2</v>
      </c>
      <c r="F23" t="s">
        <v>195</v>
      </c>
      <c r="G23" s="13" t="s">
        <v>196</v>
      </c>
    </row>
    <row r="24" spans="1:7">
      <c r="A24" t="s">
        <v>193</v>
      </c>
      <c r="B24" t="s">
        <v>197</v>
      </c>
      <c r="C24" s="28">
        <v>6238.1</v>
      </c>
      <c r="D24" s="28"/>
      <c r="E24" s="8" t="str">
        <f t="shared" si="0"/>
        <v/>
      </c>
      <c r="F24" t="s">
        <v>172</v>
      </c>
      <c r="G24" s="13" t="s">
        <v>196</v>
      </c>
    </row>
    <row r="25" spans="1:7">
      <c r="A25" t="s">
        <v>198</v>
      </c>
      <c r="B25" t="s">
        <v>199</v>
      </c>
      <c r="C25" s="28">
        <v>829231</v>
      </c>
      <c r="D25" s="28"/>
      <c r="E25" s="8" t="str">
        <f t="shared" si="0"/>
        <v/>
      </c>
      <c r="F25" t="s">
        <v>191</v>
      </c>
      <c r="G25" s="13" t="s">
        <v>200</v>
      </c>
    </row>
    <row r="26" spans="1:7">
      <c r="A26" t="s">
        <v>198</v>
      </c>
      <c r="B26" t="s">
        <v>201</v>
      </c>
      <c r="C26" s="28">
        <v>4140</v>
      </c>
      <c r="D26" s="28"/>
      <c r="E26" s="8" t="str">
        <f t="shared" si="0"/>
        <v/>
      </c>
      <c r="F26" t="s">
        <v>175</v>
      </c>
      <c r="G26" s="13" t="s">
        <v>200</v>
      </c>
    </row>
    <row r="27" spans="1:7">
      <c r="A27" t="s">
        <v>198</v>
      </c>
      <c r="B27" t="s">
        <v>202</v>
      </c>
      <c r="C27" s="28">
        <v>1339</v>
      </c>
      <c r="D27" s="28"/>
      <c r="E27" s="8" t="str">
        <f t="shared" si="0"/>
        <v/>
      </c>
      <c r="F27" t="s">
        <v>203</v>
      </c>
      <c r="G27" s="13" t="s">
        <v>200</v>
      </c>
    </row>
    <row r="28" spans="1:7">
      <c r="A28" t="s">
        <v>198</v>
      </c>
      <c r="B28" t="s">
        <v>204</v>
      </c>
      <c r="C28" s="28">
        <v>472</v>
      </c>
      <c r="D28" s="28"/>
      <c r="E28" s="8" t="str">
        <f t="shared" si="0"/>
        <v/>
      </c>
      <c r="F28" t="s">
        <v>203</v>
      </c>
      <c r="G28" s="13" t="s">
        <v>200</v>
      </c>
    </row>
    <row r="29" spans="1:7">
      <c r="A29" t="s">
        <v>205</v>
      </c>
      <c r="B29" t="s">
        <v>206</v>
      </c>
      <c r="C29" s="28">
        <v>172</v>
      </c>
      <c r="D29" s="28"/>
      <c r="E29" s="8" t="str">
        <f t="shared" si="0"/>
        <v/>
      </c>
      <c r="F29" t="s">
        <v>175</v>
      </c>
      <c r="G29" s="13" t="s">
        <v>207</v>
      </c>
    </row>
    <row r="30" spans="1:7">
      <c r="A30" t="s">
        <v>205</v>
      </c>
      <c r="B30" t="s">
        <v>208</v>
      </c>
      <c r="C30" s="8">
        <v>9.6000000000000002E-2</v>
      </c>
      <c r="D30" s="8"/>
      <c r="E30" s="8" t="str">
        <f t="shared" si="0"/>
        <v/>
      </c>
      <c r="F30" t="s">
        <v>19</v>
      </c>
      <c r="G30" s="13" t="s">
        <v>207</v>
      </c>
    </row>
  </sheetData>
  <mergeCells count="2">
    <mergeCell ref="A1:G1"/>
    <mergeCell ref="A2:H2"/>
  </mergeCells>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showGridLines="0" tabSelected="1" topLeftCell="A19" workbookViewId="0">
      <selection activeCell="B47" sqref="B47:C48"/>
    </sheetView>
  </sheetViews>
  <sheetFormatPr defaultRowHeight="14.25"/>
  <cols>
    <col min="1" max="1" width="42" customWidth="1"/>
    <col min="2" max="4" width="17" customWidth="1"/>
    <col min="5" max="5" width="15" customWidth="1"/>
    <col min="6" max="6" width="14" customWidth="1"/>
  </cols>
  <sheetData>
    <row r="1" spans="1:8" ht="30" customHeight="1">
      <c r="A1" s="37" t="s">
        <v>209</v>
      </c>
      <c r="B1" s="37" t="s">
        <v>209</v>
      </c>
      <c r="C1" s="37" t="s">
        <v>209</v>
      </c>
      <c r="D1" s="37" t="s">
        <v>209</v>
      </c>
      <c r="E1" s="37" t="s">
        <v>209</v>
      </c>
      <c r="F1" s="37" t="s">
        <v>209</v>
      </c>
    </row>
    <row r="2" spans="1:8" ht="24.95" customHeight="1">
      <c r="A2" s="38" t="s">
        <v>210</v>
      </c>
      <c r="B2" s="38" t="s">
        <v>210</v>
      </c>
      <c r="C2" s="38" t="s">
        <v>210</v>
      </c>
      <c r="D2" s="38" t="s">
        <v>210</v>
      </c>
      <c r="E2" s="38" t="s">
        <v>210</v>
      </c>
      <c r="F2" s="38" t="s">
        <v>210</v>
      </c>
      <c r="G2" s="38" t="s">
        <v>210</v>
      </c>
      <c r="H2" s="38" t="s">
        <v>210</v>
      </c>
    </row>
    <row r="4" spans="1:8" ht="21.95" customHeight="1">
      <c r="A4" s="40" t="s">
        <v>84</v>
      </c>
      <c r="B4" s="40" t="s">
        <v>84</v>
      </c>
      <c r="C4" s="40" t="s">
        <v>84</v>
      </c>
      <c r="D4" s="40" t="s">
        <v>84</v>
      </c>
      <c r="E4" s="40" t="s">
        <v>84</v>
      </c>
      <c r="F4" s="40" t="s">
        <v>84</v>
      </c>
    </row>
    <row r="5" spans="1:8" ht="27.95" customHeight="1">
      <c r="A5" s="3" t="s">
        <v>51</v>
      </c>
      <c r="B5" s="3" t="s">
        <v>70</v>
      </c>
      <c r="C5" s="3" t="s">
        <v>71</v>
      </c>
      <c r="D5" s="3" t="s">
        <v>52</v>
      </c>
      <c r="E5" s="3" t="s">
        <v>10</v>
      </c>
      <c r="F5" s="3" t="s">
        <v>12</v>
      </c>
    </row>
    <row r="7" spans="1:8">
      <c r="A7" t="s">
        <v>211</v>
      </c>
      <c r="B7" s="7">
        <v>1774106</v>
      </c>
      <c r="C7" s="7">
        <v>2064317</v>
      </c>
      <c r="D7" s="7">
        <f t="shared" ref="D7:D12" si="0">B7-C7</f>
        <v>-290211</v>
      </c>
      <c r="E7" s="8">
        <f t="shared" ref="E7:E12" si="1">IFERROR(B7/C7-1,"")</f>
        <v>-0.1405845129405997</v>
      </c>
      <c r="F7" s="13" t="s">
        <v>36</v>
      </c>
    </row>
    <row r="8" spans="1:8">
      <c r="A8" t="s">
        <v>212</v>
      </c>
      <c r="B8" s="7">
        <v>7071917</v>
      </c>
      <c r="C8" s="7">
        <v>5615849</v>
      </c>
      <c r="D8" s="7">
        <f t="shared" si="0"/>
        <v>1456068</v>
      </c>
      <c r="E8" s="8">
        <f t="shared" si="1"/>
        <v>0.25927833885847007</v>
      </c>
      <c r="F8" s="13" t="s">
        <v>36</v>
      </c>
    </row>
    <row r="9" spans="1:8">
      <c r="A9" t="s">
        <v>213</v>
      </c>
      <c r="B9" s="7">
        <v>8409</v>
      </c>
      <c r="C9" s="7">
        <v>15322</v>
      </c>
      <c r="D9" s="7">
        <f t="shared" si="0"/>
        <v>-6913</v>
      </c>
      <c r="E9" s="8">
        <f t="shared" si="1"/>
        <v>-0.45118130792324762</v>
      </c>
      <c r="F9" s="13" t="s">
        <v>36</v>
      </c>
    </row>
    <row r="10" spans="1:8" ht="15">
      <c r="A10" s="10" t="s">
        <v>214</v>
      </c>
      <c r="B10" s="11">
        <v>8854432</v>
      </c>
      <c r="C10" s="11">
        <v>7695488</v>
      </c>
      <c r="D10" s="11">
        <f t="shared" si="0"/>
        <v>1158944</v>
      </c>
      <c r="E10" s="12">
        <f t="shared" si="1"/>
        <v>0.15060045574757575</v>
      </c>
      <c r="F10" s="14" t="s">
        <v>36</v>
      </c>
    </row>
    <row r="11" spans="1:8">
      <c r="A11" t="s">
        <v>215</v>
      </c>
      <c r="B11" s="7">
        <v>-1852134</v>
      </c>
      <c r="C11" s="7">
        <v>-1691008</v>
      </c>
      <c r="D11" s="7">
        <f t="shared" si="0"/>
        <v>-161126</v>
      </c>
      <c r="E11" s="8">
        <f t="shared" si="1"/>
        <v>9.528399629096973E-2</v>
      </c>
      <c r="F11" s="13" t="s">
        <v>36</v>
      </c>
    </row>
    <row r="12" spans="1:8" ht="15">
      <c r="A12" s="10" t="s">
        <v>216</v>
      </c>
      <c r="B12" s="11">
        <v>7002298</v>
      </c>
      <c r="C12" s="11">
        <v>6004480</v>
      </c>
      <c r="D12" s="11">
        <f t="shared" si="0"/>
        <v>997818</v>
      </c>
      <c r="E12" s="12">
        <f t="shared" si="1"/>
        <v>0.16617891973992749</v>
      </c>
      <c r="F12" s="14" t="s">
        <v>36</v>
      </c>
    </row>
    <row r="13" spans="1:8">
      <c r="B13" s="7"/>
      <c r="C13" s="7"/>
      <c r="D13" s="7"/>
      <c r="E13" s="8"/>
      <c r="F13" s="13"/>
    </row>
    <row r="14" spans="1:8">
      <c r="B14" s="7"/>
      <c r="C14" s="7"/>
      <c r="D14" s="7"/>
      <c r="E14" s="8"/>
      <c r="F14" s="13"/>
    </row>
    <row r="15" spans="1:8" ht="21.95" customHeight="1">
      <c r="A15" s="40" t="s">
        <v>217</v>
      </c>
      <c r="B15" s="41" t="s">
        <v>217</v>
      </c>
      <c r="C15" s="41" t="s">
        <v>217</v>
      </c>
      <c r="D15" s="41" t="s">
        <v>217</v>
      </c>
      <c r="E15" s="42" t="s">
        <v>217</v>
      </c>
      <c r="F15" s="43" t="s">
        <v>217</v>
      </c>
    </row>
    <row r="16" spans="1:8" ht="27.95" customHeight="1">
      <c r="A16" s="3" t="s">
        <v>218</v>
      </c>
      <c r="B16" s="29" t="s">
        <v>70</v>
      </c>
      <c r="C16" s="29" t="s">
        <v>71</v>
      </c>
      <c r="D16" s="29" t="s">
        <v>52</v>
      </c>
      <c r="E16" s="30" t="s">
        <v>10</v>
      </c>
      <c r="F16" s="31" t="s">
        <v>12</v>
      </c>
    </row>
    <row r="17" spans="1:6">
      <c r="B17" s="7"/>
      <c r="C17" s="7"/>
      <c r="D17" s="7"/>
      <c r="E17" s="8"/>
      <c r="F17" s="13"/>
    </row>
    <row r="18" spans="1:6">
      <c r="A18" t="s">
        <v>219</v>
      </c>
      <c r="B18" s="7">
        <v>6422516</v>
      </c>
      <c r="C18" s="7">
        <v>5189232</v>
      </c>
      <c r="D18" s="7">
        <f>B18-C18</f>
        <v>1233284</v>
      </c>
      <c r="E18" s="8">
        <f>IFERROR(B18/C18-1,"")</f>
        <v>0.23766214345398318</v>
      </c>
      <c r="F18" s="13" t="s">
        <v>220</v>
      </c>
    </row>
    <row r="19" spans="1:6">
      <c r="A19" t="s">
        <v>221</v>
      </c>
      <c r="B19" s="7">
        <v>272012</v>
      </c>
      <c r="C19" s="7">
        <v>459262</v>
      </c>
      <c r="D19" s="7">
        <f>B19-C19</f>
        <v>-187250</v>
      </c>
      <c r="E19" s="8">
        <f>IFERROR(B19/C19-1,"")</f>
        <v>-0.40771934102973906</v>
      </c>
      <c r="F19" s="13" t="s">
        <v>220</v>
      </c>
    </row>
    <row r="20" spans="1:6">
      <c r="A20" t="s">
        <v>222</v>
      </c>
      <c r="B20" s="7">
        <v>161655</v>
      </c>
      <c r="C20" s="7">
        <v>247708</v>
      </c>
      <c r="D20" s="7">
        <f>B20-C20</f>
        <v>-86053</v>
      </c>
      <c r="E20" s="8">
        <f>IFERROR(B20/C20-1,"")</f>
        <v>-0.347396935101006</v>
      </c>
      <c r="F20" s="13" t="s">
        <v>220</v>
      </c>
    </row>
    <row r="21" spans="1:6">
      <c r="A21" t="s">
        <v>223</v>
      </c>
      <c r="B21" s="7">
        <v>146115</v>
      </c>
      <c r="C21" s="7">
        <v>108278</v>
      </c>
      <c r="D21" s="7">
        <f>B21-C21</f>
        <v>37837</v>
      </c>
      <c r="E21" s="8">
        <f>IFERROR(B21/C21-1,"")</f>
        <v>0.34944310016808577</v>
      </c>
      <c r="F21" s="13" t="s">
        <v>220</v>
      </c>
    </row>
    <row r="22" spans="1:6" ht="15">
      <c r="A22" s="10" t="s">
        <v>48</v>
      </c>
      <c r="B22" s="11">
        <v>7002298</v>
      </c>
      <c r="C22" s="11">
        <v>6004480</v>
      </c>
      <c r="D22" s="11">
        <f>B22-C22</f>
        <v>997818</v>
      </c>
      <c r="E22" s="12">
        <f>IFERROR(B22/C22-1,"")</f>
        <v>0.16617891973992749</v>
      </c>
      <c r="F22" s="14" t="s">
        <v>220</v>
      </c>
    </row>
    <row r="23" spans="1:6">
      <c r="B23" s="7"/>
      <c r="C23" s="7"/>
      <c r="D23" s="7"/>
      <c r="E23" s="8"/>
      <c r="F23" s="13"/>
    </row>
    <row r="24" spans="1:6">
      <c r="B24" s="7"/>
      <c r="C24" s="7"/>
      <c r="D24" s="7"/>
      <c r="E24" s="8"/>
      <c r="F24" s="13"/>
    </row>
    <row r="25" spans="1:6" ht="21.95" customHeight="1">
      <c r="A25" s="40" t="s">
        <v>224</v>
      </c>
      <c r="B25" s="41" t="s">
        <v>224</v>
      </c>
      <c r="C25" s="41" t="s">
        <v>224</v>
      </c>
      <c r="D25" s="41" t="s">
        <v>224</v>
      </c>
      <c r="E25" s="42" t="s">
        <v>224</v>
      </c>
      <c r="F25" s="43" t="s">
        <v>224</v>
      </c>
    </row>
    <row r="26" spans="1:6" ht="27.95" customHeight="1">
      <c r="A26" s="3" t="s">
        <v>140</v>
      </c>
      <c r="B26" s="29" t="s">
        <v>225</v>
      </c>
      <c r="C26" s="29" t="s">
        <v>226</v>
      </c>
      <c r="D26" s="29" t="s">
        <v>227</v>
      </c>
      <c r="E26" s="30" t="s">
        <v>228</v>
      </c>
      <c r="F26" s="31" t="s">
        <v>12</v>
      </c>
    </row>
    <row r="27" spans="1:6">
      <c r="B27" s="7"/>
      <c r="C27" s="7"/>
      <c r="D27" s="7"/>
      <c r="E27" s="8"/>
      <c r="F27" s="13"/>
    </row>
    <row r="28" spans="1:6">
      <c r="A28" t="s">
        <v>229</v>
      </c>
      <c r="B28" s="7">
        <v>5745469</v>
      </c>
      <c r="C28" s="7">
        <v>147409</v>
      </c>
      <c r="D28" s="8">
        <v>2.5700000000000001E-2</v>
      </c>
      <c r="E28" s="8">
        <v>2.8000000000000001E-2</v>
      </c>
      <c r="F28" s="13" t="s">
        <v>220</v>
      </c>
    </row>
    <row r="29" spans="1:6">
      <c r="A29" t="s">
        <v>230</v>
      </c>
      <c r="B29" s="7">
        <v>529893</v>
      </c>
      <c r="C29" s="7">
        <v>208920</v>
      </c>
      <c r="D29" s="8">
        <v>0.39429999999999998</v>
      </c>
      <c r="E29" s="8">
        <v>0.36320000000000002</v>
      </c>
      <c r="F29" s="13" t="s">
        <v>220</v>
      </c>
    </row>
    <row r="30" spans="1:6">
      <c r="A30" t="s">
        <v>231</v>
      </c>
      <c r="B30" s="7">
        <v>804964</v>
      </c>
      <c r="C30" s="7">
        <v>664036</v>
      </c>
      <c r="D30" s="8">
        <v>0.82489999999999997</v>
      </c>
      <c r="E30" s="8">
        <v>0.80700000000000005</v>
      </c>
      <c r="F30" s="13" t="s">
        <v>220</v>
      </c>
    </row>
    <row r="31" spans="1:6">
      <c r="A31" t="s">
        <v>232</v>
      </c>
      <c r="B31" s="7">
        <v>1774106</v>
      </c>
      <c r="C31" s="7">
        <v>831769</v>
      </c>
      <c r="D31" s="8">
        <v>0.46879999999999999</v>
      </c>
      <c r="E31" s="8">
        <v>0.38679999999999998</v>
      </c>
      <c r="F31" s="13" t="s">
        <v>220</v>
      </c>
    </row>
    <row r="32" spans="1:6" ht="15">
      <c r="A32" s="10" t="s">
        <v>48</v>
      </c>
      <c r="B32" s="11">
        <v>8854432</v>
      </c>
      <c r="C32" s="11">
        <v>1852134</v>
      </c>
      <c r="D32" s="11"/>
      <c r="E32" s="12"/>
      <c r="F32" s="14" t="s">
        <v>220</v>
      </c>
    </row>
    <row r="33" spans="1:6">
      <c r="B33" s="7"/>
      <c r="C33" s="7"/>
      <c r="D33" s="7"/>
      <c r="E33" s="8"/>
      <c r="F33" s="13"/>
    </row>
    <row r="34" spans="1:6">
      <c r="B34" s="7"/>
      <c r="C34" s="7"/>
      <c r="D34" s="7"/>
      <c r="E34" s="8"/>
      <c r="F34" s="13"/>
    </row>
    <row r="35" spans="1:6" ht="21.95" customHeight="1">
      <c r="A35" s="40" t="s">
        <v>91</v>
      </c>
      <c r="B35" s="41" t="s">
        <v>91</v>
      </c>
      <c r="C35" s="41" t="s">
        <v>91</v>
      </c>
      <c r="D35" s="41" t="s">
        <v>91</v>
      </c>
      <c r="E35" s="42" t="s">
        <v>91</v>
      </c>
      <c r="F35" s="43" t="s">
        <v>91</v>
      </c>
    </row>
    <row r="36" spans="1:6" ht="27.95" customHeight="1">
      <c r="A36" s="3" t="s">
        <v>51</v>
      </c>
      <c r="B36" s="29" t="s">
        <v>70</v>
      </c>
      <c r="C36" s="29" t="s">
        <v>71</v>
      </c>
      <c r="D36" s="29" t="s">
        <v>52</v>
      </c>
      <c r="E36" s="30" t="s">
        <v>10</v>
      </c>
      <c r="F36" s="31" t="s">
        <v>12</v>
      </c>
    </row>
    <row r="37" spans="1:6">
      <c r="B37" s="7"/>
      <c r="C37" s="7"/>
      <c r="D37" s="7"/>
      <c r="E37" s="8"/>
      <c r="F37" s="13"/>
    </row>
    <row r="38" spans="1:6">
      <c r="A38" t="s">
        <v>232</v>
      </c>
      <c r="B38" s="7">
        <v>455124</v>
      </c>
      <c r="C38" s="7">
        <v>346640</v>
      </c>
      <c r="D38" s="7">
        <f t="shared" ref="D38:D45" si="2">B38-C38</f>
        <v>108484</v>
      </c>
      <c r="E38" s="8">
        <f t="shared" ref="E38:E45" si="3">IFERROR(B38/C38-1,"")</f>
        <v>0.31295868912993297</v>
      </c>
      <c r="F38" s="13" t="s">
        <v>233</v>
      </c>
    </row>
    <row r="39" spans="1:6">
      <c r="A39" t="s">
        <v>234</v>
      </c>
      <c r="B39" s="7">
        <v>6467079</v>
      </c>
      <c r="C39" s="7">
        <v>6458795</v>
      </c>
      <c r="D39" s="7">
        <f t="shared" si="2"/>
        <v>8284</v>
      </c>
      <c r="E39" s="8">
        <f t="shared" si="3"/>
        <v>1.2825921863133249E-3</v>
      </c>
      <c r="F39" s="13" t="s">
        <v>233</v>
      </c>
    </row>
    <row r="40" spans="1:6" ht="15">
      <c r="A40" s="10" t="s">
        <v>48</v>
      </c>
      <c r="B40" s="11">
        <v>6922203</v>
      </c>
      <c r="C40" s="11">
        <v>6805435</v>
      </c>
      <c r="D40" s="11">
        <f t="shared" si="2"/>
        <v>116768</v>
      </c>
      <c r="E40" s="12">
        <f t="shared" si="3"/>
        <v>1.7158050881391107E-2</v>
      </c>
      <c r="F40" s="14" t="s">
        <v>233</v>
      </c>
    </row>
    <row r="41" spans="1:6">
      <c r="A41" t="s">
        <v>219</v>
      </c>
      <c r="B41" s="7">
        <v>6222676</v>
      </c>
      <c r="C41" s="7">
        <v>6343118</v>
      </c>
      <c r="D41" s="7">
        <f t="shared" si="2"/>
        <v>-120442</v>
      </c>
      <c r="E41" s="8">
        <f t="shared" si="3"/>
        <v>-1.8987822708012025E-2</v>
      </c>
      <c r="F41" s="13" t="s">
        <v>233</v>
      </c>
    </row>
    <row r="42" spans="1:6">
      <c r="A42" t="s">
        <v>221</v>
      </c>
      <c r="B42" s="7">
        <v>534561</v>
      </c>
      <c r="C42" s="7">
        <v>346183</v>
      </c>
      <c r="D42" s="7">
        <f t="shared" si="2"/>
        <v>188378</v>
      </c>
      <c r="E42" s="8">
        <f t="shared" si="3"/>
        <v>0.54415728097566896</v>
      </c>
      <c r="F42" s="13" t="s">
        <v>233</v>
      </c>
    </row>
    <row r="43" spans="1:6">
      <c r="A43" t="s">
        <v>222</v>
      </c>
      <c r="B43" s="7">
        <v>104513</v>
      </c>
      <c r="C43" s="7">
        <v>68344</v>
      </c>
      <c r="D43" s="7">
        <f t="shared" si="2"/>
        <v>36169</v>
      </c>
      <c r="E43" s="8">
        <f t="shared" si="3"/>
        <v>0.52921982909984777</v>
      </c>
      <c r="F43" s="13" t="s">
        <v>233</v>
      </c>
    </row>
    <row r="44" spans="1:6">
      <c r="A44" t="s">
        <v>223</v>
      </c>
      <c r="B44" s="7">
        <v>60453</v>
      </c>
      <c r="C44" s="7">
        <v>47790</v>
      </c>
      <c r="D44" s="7">
        <f t="shared" si="2"/>
        <v>12663</v>
      </c>
      <c r="E44" s="8">
        <f t="shared" si="3"/>
        <v>0.26497175141242946</v>
      </c>
      <c r="F44" s="13" t="s">
        <v>233</v>
      </c>
    </row>
    <row r="45" spans="1:6" ht="15">
      <c r="A45" s="10" t="s">
        <v>235</v>
      </c>
      <c r="B45" s="11">
        <v>6922203</v>
      </c>
      <c r="C45" s="11">
        <v>6805435</v>
      </c>
      <c r="D45" s="11">
        <f t="shared" si="2"/>
        <v>116768</v>
      </c>
      <c r="E45" s="12">
        <f t="shared" si="3"/>
        <v>1.7158050881391107E-2</v>
      </c>
      <c r="F45" s="14" t="s">
        <v>233</v>
      </c>
    </row>
    <row r="47" spans="1:6">
      <c r="B47" s="44">
        <f>B38/100000</f>
        <v>4.55124</v>
      </c>
      <c r="C47" s="44">
        <f>C38/100000</f>
        <v>3.4664000000000001</v>
      </c>
      <c r="D47">
        <f t="shared" ref="C47:F47" si="4">D38/1000000</f>
        <v>0.108484</v>
      </c>
      <c r="E47">
        <f t="shared" si="4"/>
        <v>3.1295868912993297E-7</v>
      </c>
      <c r="F47" t="e">
        <f t="shared" si="4"/>
        <v>#VALUE!</v>
      </c>
    </row>
    <row r="48" spans="1:6">
      <c r="B48" s="44">
        <f>B39/100000</f>
        <v>64.670789999999997</v>
      </c>
      <c r="C48" s="44">
        <f>C39/100000</f>
        <v>64.587950000000006</v>
      </c>
      <c r="D48">
        <f t="shared" ref="C48:F48" si="5">D39/1000000</f>
        <v>8.2839999999999997E-3</v>
      </c>
      <c r="E48">
        <f t="shared" si="5"/>
        <v>1.2825921863133249E-9</v>
      </c>
      <c r="F48" t="e">
        <f t="shared" si="5"/>
        <v>#VALUE!</v>
      </c>
    </row>
  </sheetData>
  <mergeCells count="6">
    <mergeCell ref="A35:F35"/>
    <mergeCell ref="A1:F1"/>
    <mergeCell ref="A2:H2"/>
    <mergeCell ref="A4:F4"/>
    <mergeCell ref="A15:F15"/>
    <mergeCell ref="A25:F25"/>
  </mergeCells>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9"/>
  <sheetViews>
    <sheetView showGridLines="0" workbookViewId="0"/>
  </sheetViews>
  <sheetFormatPr defaultRowHeight="14.25"/>
  <cols>
    <col min="1" max="1" width="44" customWidth="1"/>
    <col min="2" max="3" width="16" customWidth="1"/>
    <col min="4" max="4" width="20" customWidth="1"/>
    <col min="5" max="5" width="16" customWidth="1"/>
    <col min="6" max="7" width="14" customWidth="1"/>
    <col min="8" max="8" width="32" customWidth="1"/>
  </cols>
  <sheetData>
    <row r="1" spans="1:8" ht="30" customHeight="1">
      <c r="A1" s="37" t="s">
        <v>236</v>
      </c>
      <c r="B1" s="37" t="s">
        <v>236</v>
      </c>
      <c r="C1" s="37" t="s">
        <v>236</v>
      </c>
      <c r="D1" s="37" t="s">
        <v>236</v>
      </c>
      <c r="E1" s="37" t="s">
        <v>236</v>
      </c>
      <c r="F1" s="37" t="s">
        <v>236</v>
      </c>
      <c r="G1" s="37" t="s">
        <v>236</v>
      </c>
      <c r="H1" s="37" t="s">
        <v>236</v>
      </c>
    </row>
    <row r="2" spans="1:8" ht="24.95" customHeight="1">
      <c r="A2" s="38" t="s">
        <v>237</v>
      </c>
      <c r="B2" s="38" t="s">
        <v>237</v>
      </c>
      <c r="C2" s="38" t="s">
        <v>237</v>
      </c>
      <c r="D2" s="38" t="s">
        <v>237</v>
      </c>
      <c r="E2" s="38" t="s">
        <v>237</v>
      </c>
      <c r="F2" s="38" t="s">
        <v>237</v>
      </c>
      <c r="G2" s="38" t="s">
        <v>237</v>
      </c>
      <c r="H2" s="38" t="s">
        <v>237</v>
      </c>
    </row>
    <row r="4" spans="1:8" ht="21.95" customHeight="1">
      <c r="A4" s="40" t="s">
        <v>238</v>
      </c>
      <c r="B4" s="40" t="s">
        <v>238</v>
      </c>
      <c r="C4" s="40" t="s">
        <v>238</v>
      </c>
      <c r="D4" s="40" t="s">
        <v>238</v>
      </c>
      <c r="E4" s="40" t="s">
        <v>238</v>
      </c>
      <c r="F4" s="40" t="s">
        <v>238</v>
      </c>
    </row>
    <row r="5" spans="1:8" ht="27.95" customHeight="1">
      <c r="A5" s="3" t="s">
        <v>51</v>
      </c>
      <c r="B5" s="3" t="s">
        <v>7</v>
      </c>
      <c r="C5" s="3" t="s">
        <v>44</v>
      </c>
      <c r="D5" s="3" t="s">
        <v>52</v>
      </c>
      <c r="E5" s="3" t="s">
        <v>10</v>
      </c>
      <c r="F5" s="3" t="s">
        <v>12</v>
      </c>
    </row>
    <row r="7" spans="1:8">
      <c r="A7" t="s">
        <v>239</v>
      </c>
      <c r="B7" s="7">
        <v>7311</v>
      </c>
      <c r="C7" s="7">
        <v>27805</v>
      </c>
      <c r="D7" s="7">
        <f t="shared" ref="D7:D15" si="0">B7-C7</f>
        <v>-20494</v>
      </c>
      <c r="E7" s="8">
        <f t="shared" ref="E7:E15" si="1">IFERROR(B7/C7-1,"")</f>
        <v>-0.73706167955403701</v>
      </c>
      <c r="F7" s="13" t="s">
        <v>142</v>
      </c>
    </row>
    <row r="8" spans="1:8">
      <c r="A8" t="s">
        <v>240</v>
      </c>
      <c r="B8" s="7">
        <v>14196</v>
      </c>
      <c r="C8" s="7">
        <v>20155</v>
      </c>
      <c r="D8" s="7">
        <f t="shared" si="0"/>
        <v>-5959</v>
      </c>
      <c r="E8" s="8">
        <f t="shared" si="1"/>
        <v>-0.29565864549739518</v>
      </c>
      <c r="F8" s="13" t="s">
        <v>142</v>
      </c>
    </row>
    <row r="9" spans="1:8">
      <c r="A9" t="s">
        <v>241</v>
      </c>
      <c r="B9" s="7">
        <v>30423</v>
      </c>
      <c r="C9" s="7">
        <v>34508</v>
      </c>
      <c r="D9" s="7">
        <f t="shared" si="0"/>
        <v>-4085</v>
      </c>
      <c r="E9" s="8">
        <f t="shared" si="1"/>
        <v>-0.11837834704995942</v>
      </c>
      <c r="F9" s="13" t="s">
        <v>142</v>
      </c>
    </row>
    <row r="10" spans="1:8">
      <c r="A10" t="s">
        <v>242</v>
      </c>
      <c r="B10" s="7">
        <v>12647</v>
      </c>
      <c r="C10" s="7">
        <v>11896</v>
      </c>
      <c r="D10" s="7">
        <f t="shared" si="0"/>
        <v>751</v>
      </c>
      <c r="E10" s="8">
        <f t="shared" si="1"/>
        <v>6.3130464021519783E-2</v>
      </c>
      <c r="F10" s="13" t="s">
        <v>142</v>
      </c>
    </row>
    <row r="11" spans="1:8">
      <c r="A11" t="s">
        <v>243</v>
      </c>
      <c r="B11" s="7">
        <v>421</v>
      </c>
      <c r="C11" s="7">
        <v>190</v>
      </c>
      <c r="D11" s="7">
        <f t="shared" si="0"/>
        <v>231</v>
      </c>
      <c r="E11" s="8">
        <f t="shared" si="1"/>
        <v>1.2157894736842105</v>
      </c>
      <c r="F11" s="13" t="s">
        <v>142</v>
      </c>
    </row>
    <row r="12" spans="1:8">
      <c r="A12" t="s">
        <v>244</v>
      </c>
      <c r="B12" s="7">
        <v>3933</v>
      </c>
      <c r="C12" s="7">
        <v>0</v>
      </c>
      <c r="D12" s="7">
        <f t="shared" si="0"/>
        <v>3933</v>
      </c>
      <c r="E12" s="8" t="str">
        <f t="shared" si="1"/>
        <v/>
      </c>
      <c r="F12" s="13" t="s">
        <v>142</v>
      </c>
    </row>
    <row r="13" spans="1:8">
      <c r="A13" t="s">
        <v>245</v>
      </c>
      <c r="B13" s="7">
        <v>3566</v>
      </c>
      <c r="C13" s="7">
        <v>-3762</v>
      </c>
      <c r="D13" s="7">
        <f t="shared" si="0"/>
        <v>7328</v>
      </c>
      <c r="E13" s="8">
        <f t="shared" si="1"/>
        <v>-1.9479000531632109</v>
      </c>
      <c r="F13" s="13" t="s">
        <v>142</v>
      </c>
    </row>
    <row r="14" spans="1:8">
      <c r="A14" t="s">
        <v>246</v>
      </c>
      <c r="B14" s="7">
        <v>-16323</v>
      </c>
      <c r="C14" s="7">
        <v>-27588</v>
      </c>
      <c r="D14" s="7">
        <f t="shared" si="0"/>
        <v>11265</v>
      </c>
      <c r="E14" s="8">
        <f t="shared" si="1"/>
        <v>-0.40832970856894302</v>
      </c>
      <c r="F14" s="13" t="s">
        <v>142</v>
      </c>
    </row>
    <row r="15" spans="1:8" ht="15">
      <c r="A15" s="10" t="s">
        <v>48</v>
      </c>
      <c r="B15" s="11">
        <v>56174</v>
      </c>
      <c r="C15" s="11">
        <v>63204</v>
      </c>
      <c r="D15" s="11">
        <f t="shared" si="0"/>
        <v>-7030</v>
      </c>
      <c r="E15" s="12">
        <f t="shared" si="1"/>
        <v>-0.11122713752294155</v>
      </c>
      <c r="F15" s="14" t="s">
        <v>142</v>
      </c>
      <c r="G15" s="10"/>
      <c r="H15" s="10"/>
    </row>
    <row r="16" spans="1:8">
      <c r="B16" s="7"/>
      <c r="C16" s="7"/>
      <c r="D16" s="7"/>
      <c r="E16" s="8"/>
      <c r="F16" s="13"/>
    </row>
    <row r="17" spans="1:8">
      <c r="B17" s="7"/>
      <c r="C17" s="7"/>
      <c r="D17" s="7"/>
      <c r="E17" s="8"/>
      <c r="F17" s="13"/>
    </row>
    <row r="18" spans="1:8" ht="21.95" customHeight="1">
      <c r="A18" s="40" t="s">
        <v>247</v>
      </c>
      <c r="B18" s="41" t="s">
        <v>247</v>
      </c>
      <c r="C18" s="41" t="s">
        <v>247</v>
      </c>
      <c r="D18" s="41" t="s">
        <v>247</v>
      </c>
      <c r="E18" s="42" t="s">
        <v>247</v>
      </c>
      <c r="F18" s="43" t="s">
        <v>247</v>
      </c>
    </row>
    <row r="19" spans="1:8" ht="27.95" customHeight="1">
      <c r="A19" s="3" t="s">
        <v>51</v>
      </c>
      <c r="B19" s="29" t="s">
        <v>7</v>
      </c>
      <c r="C19" s="29" t="s">
        <v>44</v>
      </c>
      <c r="D19" s="29" t="s">
        <v>52</v>
      </c>
      <c r="E19" s="30" t="s">
        <v>10</v>
      </c>
      <c r="F19" s="31" t="s">
        <v>12</v>
      </c>
    </row>
    <row r="20" spans="1:8">
      <c r="B20" s="7"/>
      <c r="C20" s="7"/>
      <c r="D20" s="7"/>
      <c r="E20" s="8"/>
      <c r="F20" s="13"/>
    </row>
    <row r="21" spans="1:8">
      <c r="A21" t="s">
        <v>248</v>
      </c>
      <c r="B21" s="7">
        <v>16530077</v>
      </c>
      <c r="C21" s="7">
        <v>15429723</v>
      </c>
      <c r="D21" s="7">
        <f t="shared" ref="D21:D30" si="2">B21-C21</f>
        <v>1100354</v>
      </c>
      <c r="E21" s="8">
        <f t="shared" ref="E21:E30" si="3">IFERROR(B21/C21-1,"")</f>
        <v>7.1313917949142658E-2</v>
      </c>
      <c r="F21" s="13" t="s">
        <v>249</v>
      </c>
    </row>
    <row r="22" spans="1:8">
      <c r="A22" t="s">
        <v>250</v>
      </c>
      <c r="B22" s="7">
        <v>163134</v>
      </c>
      <c r="C22" s="7">
        <v>214861</v>
      </c>
      <c r="D22" s="7">
        <f t="shared" si="2"/>
        <v>-51727</v>
      </c>
      <c r="E22" s="8">
        <f t="shared" si="3"/>
        <v>-0.24074634298453423</v>
      </c>
      <c r="F22" s="13" t="s">
        <v>249</v>
      </c>
    </row>
    <row r="23" spans="1:8">
      <c r="A23" t="s">
        <v>251</v>
      </c>
      <c r="B23" s="7">
        <v>489609</v>
      </c>
      <c r="C23" s="7">
        <v>531358</v>
      </c>
      <c r="D23" s="7">
        <f t="shared" si="2"/>
        <v>-41749</v>
      </c>
      <c r="E23" s="8">
        <f t="shared" si="3"/>
        <v>-7.8570380045091981E-2</v>
      </c>
      <c r="F23" s="13" t="s">
        <v>249</v>
      </c>
    </row>
    <row r="24" spans="1:8">
      <c r="A24" t="s">
        <v>252</v>
      </c>
      <c r="B24" s="7">
        <v>162132</v>
      </c>
      <c r="C24" s="7">
        <v>156931</v>
      </c>
      <c r="D24" s="7">
        <f t="shared" si="2"/>
        <v>5201</v>
      </c>
      <c r="E24" s="8">
        <f t="shared" si="3"/>
        <v>3.3141954107219096E-2</v>
      </c>
      <c r="F24" s="13" t="s">
        <v>249</v>
      </c>
    </row>
    <row r="25" spans="1:8">
      <c r="A25" t="s">
        <v>253</v>
      </c>
      <c r="B25" s="7">
        <v>5142920</v>
      </c>
      <c r="C25" s="7">
        <v>4996248</v>
      </c>
      <c r="D25" s="7">
        <f t="shared" si="2"/>
        <v>146672</v>
      </c>
      <c r="E25" s="8">
        <f t="shared" si="3"/>
        <v>2.9356429064369971E-2</v>
      </c>
      <c r="F25" s="13" t="s">
        <v>249</v>
      </c>
    </row>
    <row r="26" spans="1:8">
      <c r="A26" t="s">
        <v>254</v>
      </c>
      <c r="B26" s="7">
        <v>1092082</v>
      </c>
      <c r="C26" s="7">
        <v>1008430</v>
      </c>
      <c r="D26" s="7">
        <f t="shared" si="2"/>
        <v>83652</v>
      </c>
      <c r="E26" s="8">
        <f t="shared" si="3"/>
        <v>8.2952708665946062E-2</v>
      </c>
      <c r="F26" s="13" t="s">
        <v>249</v>
      </c>
    </row>
    <row r="27" spans="1:8" ht="15">
      <c r="A27" s="10" t="s">
        <v>255</v>
      </c>
      <c r="B27" s="11">
        <v>6235002</v>
      </c>
      <c r="C27" s="11">
        <v>6004678</v>
      </c>
      <c r="D27" s="11">
        <f t="shared" si="2"/>
        <v>230324</v>
      </c>
      <c r="E27" s="12">
        <f t="shared" si="3"/>
        <v>3.8357427325828253E-2</v>
      </c>
      <c r="F27" s="14" t="s">
        <v>249</v>
      </c>
      <c r="G27" s="10"/>
      <c r="H27" s="10"/>
    </row>
    <row r="28" spans="1:8">
      <c r="A28" t="s">
        <v>256</v>
      </c>
      <c r="B28" s="7">
        <v>161220</v>
      </c>
      <c r="C28" s="7">
        <v>144683</v>
      </c>
      <c r="D28" s="7">
        <f t="shared" si="2"/>
        <v>16537</v>
      </c>
      <c r="E28" s="8">
        <f t="shared" si="3"/>
        <v>0.11429815527739962</v>
      </c>
      <c r="F28" s="13" t="s">
        <v>249</v>
      </c>
    </row>
    <row r="29" spans="1:8">
      <c r="A29" t="s">
        <v>257</v>
      </c>
      <c r="B29" s="7">
        <v>108722</v>
      </c>
      <c r="C29" s="7">
        <v>123339</v>
      </c>
      <c r="D29" s="7">
        <f t="shared" si="2"/>
        <v>-14617</v>
      </c>
      <c r="E29" s="8">
        <f t="shared" si="3"/>
        <v>-0.11851077112673203</v>
      </c>
      <c r="F29" s="13" t="s">
        <v>249</v>
      </c>
    </row>
    <row r="30" spans="1:8" ht="15">
      <c r="A30" s="10" t="s">
        <v>258</v>
      </c>
      <c r="B30" s="11">
        <v>269942</v>
      </c>
      <c r="C30" s="11">
        <v>268022</v>
      </c>
      <c r="D30" s="11">
        <f t="shared" si="2"/>
        <v>1920</v>
      </c>
      <c r="E30" s="12">
        <f t="shared" si="3"/>
        <v>7.1635910484959542E-3</v>
      </c>
      <c r="F30" s="14" t="s">
        <v>249</v>
      </c>
      <c r="G30" s="10"/>
      <c r="H30" s="10"/>
    </row>
    <row r="31" spans="1:8">
      <c r="B31" s="7"/>
      <c r="C31" s="7"/>
      <c r="D31" s="7"/>
      <c r="E31" s="7"/>
    </row>
    <row r="32" spans="1:8">
      <c r="B32" s="7"/>
      <c r="C32" s="7"/>
      <c r="D32" s="7"/>
      <c r="E32" s="7"/>
    </row>
    <row r="33" spans="1:8" ht="21.95" customHeight="1">
      <c r="A33" s="40" t="s">
        <v>259</v>
      </c>
      <c r="B33" s="41" t="s">
        <v>259</v>
      </c>
      <c r="C33" s="41" t="s">
        <v>259</v>
      </c>
      <c r="D33" s="41" t="s">
        <v>259</v>
      </c>
      <c r="E33" s="41" t="s">
        <v>259</v>
      </c>
      <c r="F33" s="40" t="s">
        <v>259</v>
      </c>
      <c r="G33" s="40" t="s">
        <v>259</v>
      </c>
      <c r="H33" s="40" t="s">
        <v>259</v>
      </c>
    </row>
    <row r="34" spans="1:8" ht="27.95" customHeight="1">
      <c r="A34" s="3" t="s">
        <v>51</v>
      </c>
      <c r="B34" s="29" t="s">
        <v>7</v>
      </c>
      <c r="C34" s="29" t="s">
        <v>44</v>
      </c>
      <c r="D34" s="29" t="s">
        <v>11</v>
      </c>
      <c r="E34" s="29" t="s">
        <v>52</v>
      </c>
      <c r="F34" s="3" t="s">
        <v>10</v>
      </c>
      <c r="G34" s="3" t="s">
        <v>12</v>
      </c>
      <c r="H34" s="3" t="s">
        <v>13</v>
      </c>
    </row>
    <row r="35" spans="1:8">
      <c r="B35" s="7"/>
      <c r="C35" s="7"/>
      <c r="D35" s="7"/>
      <c r="E35" s="7"/>
    </row>
    <row r="36" spans="1:8">
      <c r="A36" t="s">
        <v>260</v>
      </c>
      <c r="B36" s="7">
        <v>353498</v>
      </c>
      <c r="C36" s="7">
        <v>345142</v>
      </c>
      <c r="D36" s="7" t="s">
        <v>15</v>
      </c>
      <c r="E36" s="7">
        <f t="shared" ref="E36:E43" si="4">IF(OR(B36="",C36=""),"",B36-C36)</f>
        <v>8356</v>
      </c>
      <c r="F36" s="8">
        <f t="shared" ref="F36:F43" si="5">IFERROR(B36/C36-1,"")</f>
        <v>2.4210325025641577E-2</v>
      </c>
      <c r="G36" s="13" t="s">
        <v>261</v>
      </c>
    </row>
    <row r="37" spans="1:8">
      <c r="A37" t="s">
        <v>262</v>
      </c>
      <c r="B37" s="7">
        <v>-83340</v>
      </c>
      <c r="C37" s="7">
        <v>-82312</v>
      </c>
      <c r="D37" s="7" t="s">
        <v>15</v>
      </c>
      <c r="E37" s="7">
        <f t="shared" si="4"/>
        <v>-1028</v>
      </c>
      <c r="F37" s="8">
        <f t="shared" si="5"/>
        <v>1.2489065992807857E-2</v>
      </c>
      <c r="G37" s="13" t="s">
        <v>261</v>
      </c>
    </row>
    <row r="38" spans="1:8" ht="15">
      <c r="A38" s="10" t="s">
        <v>263</v>
      </c>
      <c r="B38" s="11">
        <v>270158</v>
      </c>
      <c r="C38" s="11">
        <v>262830</v>
      </c>
      <c r="D38" s="11" t="s">
        <v>15</v>
      </c>
      <c r="E38" s="11">
        <f t="shared" si="4"/>
        <v>7328</v>
      </c>
      <c r="F38" s="12">
        <f t="shared" si="5"/>
        <v>2.7881139900315821E-2</v>
      </c>
      <c r="G38" s="14" t="s">
        <v>261</v>
      </c>
      <c r="H38" s="10"/>
    </row>
    <row r="39" spans="1:8">
      <c r="A39" t="s">
        <v>264</v>
      </c>
      <c r="B39" s="7">
        <v>781565</v>
      </c>
      <c r="C39" s="7">
        <v>791992</v>
      </c>
      <c r="D39" s="7" t="s">
        <v>15</v>
      </c>
      <c r="E39" s="7">
        <f t="shared" si="4"/>
        <v>-10427</v>
      </c>
      <c r="F39" s="8">
        <f t="shared" si="5"/>
        <v>-1.3165537025626506E-2</v>
      </c>
      <c r="G39" s="13" t="s">
        <v>265</v>
      </c>
    </row>
    <row r="40" spans="1:8">
      <c r="A40" t="s">
        <v>266</v>
      </c>
      <c r="B40" s="7">
        <v>1153686554</v>
      </c>
      <c r="C40" s="7">
        <v>1156779915</v>
      </c>
      <c r="D40" s="7" t="s">
        <v>267</v>
      </c>
      <c r="E40" s="7">
        <f t="shared" si="4"/>
        <v>-3093361</v>
      </c>
      <c r="F40" s="8">
        <f t="shared" si="5"/>
        <v>-2.6741136839326662E-3</v>
      </c>
      <c r="G40" s="13" t="s">
        <v>265</v>
      </c>
      <c r="H40" t="s">
        <v>268</v>
      </c>
    </row>
    <row r="41" spans="1:8">
      <c r="A41" t="s">
        <v>269</v>
      </c>
      <c r="B41" s="9">
        <v>0.68</v>
      </c>
      <c r="C41" s="7">
        <v>0.68</v>
      </c>
      <c r="D41" s="7" t="s">
        <v>270</v>
      </c>
      <c r="E41" s="7">
        <f t="shared" si="4"/>
        <v>0</v>
      </c>
      <c r="F41" s="8">
        <f t="shared" si="5"/>
        <v>0</v>
      </c>
      <c r="G41" s="13" t="s">
        <v>265</v>
      </c>
    </row>
    <row r="42" spans="1:8">
      <c r="A42" t="s">
        <v>271</v>
      </c>
      <c r="B42" s="9">
        <v>0.71099999999999997</v>
      </c>
      <c r="C42" s="7"/>
      <c r="D42" s="7" t="s">
        <v>272</v>
      </c>
      <c r="E42" s="7" t="str">
        <f t="shared" si="4"/>
        <v/>
      </c>
      <c r="F42" s="8" t="str">
        <f t="shared" si="5"/>
        <v/>
      </c>
      <c r="G42" s="13" t="s">
        <v>261</v>
      </c>
      <c r="H42" t="s">
        <v>273</v>
      </c>
    </row>
    <row r="43" spans="1:8">
      <c r="A43" t="s">
        <v>274</v>
      </c>
      <c r="B43" s="7">
        <v>820000</v>
      </c>
      <c r="C43" s="7"/>
      <c r="D43" s="7" t="s">
        <v>15</v>
      </c>
      <c r="E43" s="7" t="str">
        <f t="shared" si="4"/>
        <v/>
      </c>
      <c r="F43" s="8" t="str">
        <f t="shared" si="5"/>
        <v/>
      </c>
      <c r="G43" s="13" t="s">
        <v>261</v>
      </c>
    </row>
    <row r="44" spans="1:8">
      <c r="B44" s="7"/>
      <c r="C44" s="7"/>
      <c r="D44" s="7"/>
      <c r="E44" s="7"/>
      <c r="F44" s="8"/>
      <c r="G44" s="13"/>
    </row>
    <row r="45" spans="1:8">
      <c r="B45" s="7"/>
      <c r="C45" s="7"/>
      <c r="D45" s="7"/>
      <c r="E45" s="7"/>
      <c r="F45" s="8"/>
      <c r="G45" s="13"/>
    </row>
    <row r="46" spans="1:8">
      <c r="B46" s="7"/>
      <c r="C46" s="7"/>
      <c r="D46" s="7"/>
      <c r="E46" s="7"/>
      <c r="F46" s="8"/>
      <c r="G46" s="13"/>
    </row>
    <row r="47" spans="1:8" ht="21.95" customHeight="1">
      <c r="A47" s="40" t="s">
        <v>275</v>
      </c>
      <c r="B47" s="41" t="s">
        <v>275</v>
      </c>
      <c r="C47" s="41" t="s">
        <v>275</v>
      </c>
      <c r="D47" s="41" t="s">
        <v>275</v>
      </c>
      <c r="E47" s="41" t="s">
        <v>275</v>
      </c>
      <c r="F47" s="42" t="s">
        <v>275</v>
      </c>
      <c r="G47" s="13"/>
    </row>
    <row r="48" spans="1:8" ht="27.95" customHeight="1">
      <c r="A48" s="3" t="s">
        <v>51</v>
      </c>
      <c r="B48" s="29" t="s">
        <v>276</v>
      </c>
      <c r="C48" s="29" t="s">
        <v>277</v>
      </c>
      <c r="D48" s="29" t="s">
        <v>278</v>
      </c>
      <c r="E48" s="29" t="s">
        <v>48</v>
      </c>
      <c r="F48" s="30" t="s">
        <v>12</v>
      </c>
      <c r="G48" s="13"/>
    </row>
    <row r="49" spans="1:8">
      <c r="B49" s="7"/>
      <c r="C49" s="7"/>
      <c r="D49" s="7"/>
      <c r="E49" s="7"/>
      <c r="F49" s="8"/>
      <c r="G49" s="13"/>
    </row>
    <row r="50" spans="1:8">
      <c r="A50" t="s">
        <v>279</v>
      </c>
      <c r="B50" s="7">
        <v>3397864</v>
      </c>
      <c r="C50" s="7">
        <v>3999890</v>
      </c>
      <c r="D50" s="7">
        <v>61091</v>
      </c>
      <c r="E50" s="7">
        <v>7458845</v>
      </c>
      <c r="F50" s="8" t="s">
        <v>265</v>
      </c>
      <c r="G50" s="13"/>
    </row>
    <row r="51" spans="1:8">
      <c r="A51" t="s">
        <v>280</v>
      </c>
      <c r="B51" s="7">
        <v>0</v>
      </c>
      <c r="C51" s="7">
        <v>0</v>
      </c>
      <c r="D51" s="7">
        <v>9178</v>
      </c>
      <c r="E51" s="7">
        <v>9178</v>
      </c>
      <c r="F51" s="8" t="s">
        <v>265</v>
      </c>
      <c r="G51" s="13"/>
    </row>
    <row r="52" spans="1:8">
      <c r="A52" t="s">
        <v>281</v>
      </c>
      <c r="B52" s="7">
        <v>40148</v>
      </c>
      <c r="C52" s="7">
        <v>0</v>
      </c>
      <c r="D52" s="7">
        <v>0</v>
      </c>
      <c r="E52" s="7">
        <v>40148</v>
      </c>
      <c r="F52" s="8" t="s">
        <v>265</v>
      </c>
      <c r="G52" s="13"/>
    </row>
    <row r="53" spans="1:8">
      <c r="A53" t="s">
        <v>282</v>
      </c>
      <c r="B53" s="7">
        <v>-299007</v>
      </c>
      <c r="C53" s="7">
        <v>0</v>
      </c>
      <c r="D53" s="7">
        <v>-4213</v>
      </c>
      <c r="E53" s="7">
        <v>-303220</v>
      </c>
      <c r="F53" s="8" t="s">
        <v>265</v>
      </c>
      <c r="G53" s="13"/>
    </row>
    <row r="54" spans="1:8" ht="15">
      <c r="A54" s="10" t="s">
        <v>283</v>
      </c>
      <c r="B54" s="11">
        <v>3139005</v>
      </c>
      <c r="C54" s="11">
        <v>3999890</v>
      </c>
      <c r="D54" s="11">
        <v>66056</v>
      </c>
      <c r="E54" s="11">
        <v>7204951</v>
      </c>
      <c r="F54" s="12" t="s">
        <v>265</v>
      </c>
      <c r="G54" s="14"/>
      <c r="H54" s="10"/>
    </row>
    <row r="55" spans="1:8">
      <c r="B55" s="7"/>
      <c r="C55" s="7"/>
      <c r="D55" s="7"/>
      <c r="E55" s="7"/>
      <c r="F55" s="8"/>
      <c r="G55" s="13"/>
    </row>
    <row r="56" spans="1:8">
      <c r="B56" s="7"/>
      <c r="C56" s="7"/>
      <c r="D56" s="7"/>
      <c r="E56" s="7"/>
      <c r="F56" s="8"/>
      <c r="G56" s="13"/>
    </row>
    <row r="57" spans="1:8" ht="21.95" customHeight="1">
      <c r="A57" s="40" t="s">
        <v>284</v>
      </c>
      <c r="B57" s="41" t="s">
        <v>284</v>
      </c>
      <c r="C57" s="41" t="s">
        <v>284</v>
      </c>
      <c r="D57" s="41" t="s">
        <v>284</v>
      </c>
      <c r="E57" s="41" t="s">
        <v>284</v>
      </c>
      <c r="F57" s="42" t="s">
        <v>284</v>
      </c>
      <c r="G57" s="43" t="s">
        <v>284</v>
      </c>
      <c r="H57" s="40" t="s">
        <v>284</v>
      </c>
    </row>
    <row r="58" spans="1:8" ht="27.95" customHeight="1">
      <c r="A58" s="3" t="s">
        <v>51</v>
      </c>
      <c r="B58" s="29" t="s">
        <v>168</v>
      </c>
      <c r="C58" s="29" t="s">
        <v>285</v>
      </c>
      <c r="D58" s="29" t="s">
        <v>11</v>
      </c>
      <c r="E58" s="29" t="s">
        <v>9</v>
      </c>
      <c r="F58" s="30" t="s">
        <v>10</v>
      </c>
      <c r="G58" s="31" t="s">
        <v>12</v>
      </c>
      <c r="H58" s="3" t="s">
        <v>13</v>
      </c>
    </row>
    <row r="59" spans="1:8">
      <c r="B59" s="7"/>
      <c r="C59" s="7"/>
      <c r="D59" s="7"/>
      <c r="E59" s="7"/>
      <c r="F59" s="8"/>
      <c r="G59" s="13"/>
    </row>
    <row r="60" spans="1:8">
      <c r="A60" t="s">
        <v>32</v>
      </c>
      <c r="B60" s="7">
        <v>10366.5</v>
      </c>
      <c r="C60" s="7"/>
      <c r="D60" s="7" t="s">
        <v>172</v>
      </c>
      <c r="E60" s="7" t="str">
        <f t="shared" ref="E60:E69" si="6">IF(OR(B60="",C60=""),"",B60-C60)</f>
        <v/>
      </c>
      <c r="F60" s="8" t="str">
        <f t="shared" ref="F60:F69" si="7">IFERROR(B60/C60-1,"")</f>
        <v/>
      </c>
      <c r="G60" s="13" t="s">
        <v>33</v>
      </c>
      <c r="H60" t="s">
        <v>286</v>
      </c>
    </row>
    <row r="61" spans="1:8">
      <c r="A61" t="s">
        <v>287</v>
      </c>
      <c r="B61" s="7">
        <v>1774.1</v>
      </c>
      <c r="C61" s="7">
        <v>2064.3000000000002</v>
      </c>
      <c r="D61" s="7" t="s">
        <v>172</v>
      </c>
      <c r="E61" s="7">
        <f t="shared" si="6"/>
        <v>-290.20000000000027</v>
      </c>
      <c r="F61" s="8">
        <f t="shared" si="7"/>
        <v>-0.14058034200455372</v>
      </c>
      <c r="G61" s="13" t="s">
        <v>33</v>
      </c>
      <c r="H61" t="s">
        <v>288</v>
      </c>
    </row>
    <row r="62" spans="1:8">
      <c r="A62" t="s">
        <v>289</v>
      </c>
      <c r="B62" s="7">
        <v>820.9</v>
      </c>
      <c r="C62" s="7">
        <v>1171.9000000000001</v>
      </c>
      <c r="D62" s="7" t="s">
        <v>172</v>
      </c>
      <c r="E62" s="7">
        <f t="shared" si="6"/>
        <v>-351.00000000000011</v>
      </c>
      <c r="F62" s="8">
        <f t="shared" si="7"/>
        <v>-0.29951361037631208</v>
      </c>
      <c r="G62" s="13" t="s">
        <v>33</v>
      </c>
      <c r="H62" t="s">
        <v>290</v>
      </c>
    </row>
    <row r="63" spans="1:8">
      <c r="A63" t="s">
        <v>291</v>
      </c>
      <c r="B63" s="7">
        <v>978.2</v>
      </c>
      <c r="C63" s="7"/>
      <c r="D63" s="7" t="s">
        <v>172</v>
      </c>
      <c r="E63" s="7" t="str">
        <f t="shared" si="6"/>
        <v/>
      </c>
      <c r="F63" s="8" t="str">
        <f t="shared" si="7"/>
        <v/>
      </c>
      <c r="G63" s="13" t="s">
        <v>148</v>
      </c>
      <c r="H63" t="s">
        <v>292</v>
      </c>
    </row>
    <row r="64" spans="1:8">
      <c r="A64" t="s">
        <v>293</v>
      </c>
      <c r="B64" s="7">
        <v>252.6</v>
      </c>
      <c r="C64" s="7"/>
      <c r="D64" s="7" t="s">
        <v>172</v>
      </c>
      <c r="E64" s="7" t="str">
        <f t="shared" si="6"/>
        <v/>
      </c>
      <c r="F64" s="8" t="str">
        <f t="shared" si="7"/>
        <v/>
      </c>
      <c r="G64" s="13" t="s">
        <v>148</v>
      </c>
      <c r="H64" t="s">
        <v>292</v>
      </c>
    </row>
    <row r="65" spans="1:8">
      <c r="A65" t="s">
        <v>294</v>
      </c>
      <c r="B65" s="7">
        <v>1027.9000000000001</v>
      </c>
      <c r="C65" s="7"/>
      <c r="D65" s="7" t="s">
        <v>172</v>
      </c>
      <c r="E65" s="7" t="str">
        <f t="shared" si="6"/>
        <v/>
      </c>
      <c r="F65" s="8" t="str">
        <f t="shared" si="7"/>
        <v/>
      </c>
      <c r="G65" s="13" t="s">
        <v>295</v>
      </c>
      <c r="H65" t="s">
        <v>296</v>
      </c>
    </row>
    <row r="66" spans="1:8">
      <c r="A66" t="s">
        <v>297</v>
      </c>
      <c r="B66" s="7">
        <v>655.5</v>
      </c>
      <c r="C66" s="7"/>
      <c r="D66" s="7" t="s">
        <v>172</v>
      </c>
      <c r="E66" s="7" t="str">
        <f t="shared" si="6"/>
        <v/>
      </c>
      <c r="F66" s="8" t="str">
        <f t="shared" si="7"/>
        <v/>
      </c>
      <c r="G66" s="13" t="s">
        <v>295</v>
      </c>
    </row>
    <row r="67" spans="1:8">
      <c r="A67" t="s">
        <v>298</v>
      </c>
      <c r="B67" s="7">
        <v>0</v>
      </c>
      <c r="C67" s="7"/>
      <c r="D67" s="7" t="s">
        <v>172</v>
      </c>
      <c r="E67" s="7" t="str">
        <f t="shared" si="6"/>
        <v/>
      </c>
      <c r="F67" s="8" t="str">
        <f t="shared" si="7"/>
        <v/>
      </c>
      <c r="G67" s="13" t="s">
        <v>299</v>
      </c>
      <c r="H67" t="s">
        <v>300</v>
      </c>
    </row>
    <row r="68" spans="1:8">
      <c r="A68" t="s">
        <v>301</v>
      </c>
      <c r="B68" s="32">
        <v>2273100</v>
      </c>
      <c r="C68" s="32"/>
      <c r="D68" s="7" t="s">
        <v>267</v>
      </c>
      <c r="E68" s="7" t="str">
        <f t="shared" si="6"/>
        <v/>
      </c>
      <c r="F68" s="8" t="str">
        <f t="shared" si="7"/>
        <v/>
      </c>
      <c r="G68" s="13" t="s">
        <v>196</v>
      </c>
    </row>
    <row r="69" spans="1:8">
      <c r="A69" t="s">
        <v>302</v>
      </c>
      <c r="B69" s="32">
        <v>39967888.25</v>
      </c>
      <c r="C69" s="32"/>
      <c r="D69" s="7" t="s">
        <v>303</v>
      </c>
      <c r="E69" s="7" t="str">
        <f t="shared" si="6"/>
        <v/>
      </c>
      <c r="F69" s="8" t="str">
        <f t="shared" si="7"/>
        <v/>
      </c>
      <c r="G69" s="13" t="s">
        <v>196</v>
      </c>
      <c r="H69" t="s">
        <v>304</v>
      </c>
    </row>
  </sheetData>
  <mergeCells count="7">
    <mergeCell ref="A47:F47"/>
    <mergeCell ref="A57:H57"/>
    <mergeCell ref="A1:H1"/>
    <mergeCell ref="A2:H2"/>
    <mergeCell ref="A4:F4"/>
    <mergeCell ref="A18:F18"/>
    <mergeCell ref="A33:H33"/>
  </mergeCells>
  <phoneticPr fontId="1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0"/>
  <sheetViews>
    <sheetView showGridLines="0" workbookViewId="0"/>
  </sheetViews>
  <sheetFormatPr defaultRowHeight="14.25"/>
  <cols>
    <col min="1" max="1" width="48" customWidth="1"/>
    <col min="2" max="3" width="18" customWidth="1"/>
    <col min="4" max="4" width="15" customWidth="1"/>
    <col min="5" max="5" width="13" customWidth="1"/>
    <col min="6" max="6" width="12" customWidth="1"/>
    <col min="7" max="7" width="40" customWidth="1"/>
  </cols>
  <sheetData>
    <row r="1" spans="1:8" ht="30" customHeight="1">
      <c r="A1" s="37" t="s">
        <v>305</v>
      </c>
      <c r="B1" s="37" t="s">
        <v>305</v>
      </c>
      <c r="C1" s="37" t="s">
        <v>305</v>
      </c>
      <c r="D1" s="37" t="s">
        <v>305</v>
      </c>
      <c r="E1" s="37" t="s">
        <v>305</v>
      </c>
      <c r="F1" s="37" t="s">
        <v>305</v>
      </c>
      <c r="G1" s="37" t="s">
        <v>305</v>
      </c>
    </row>
    <row r="2" spans="1:8" ht="24.95" customHeight="1">
      <c r="A2" s="38" t="s">
        <v>306</v>
      </c>
      <c r="B2" s="38" t="s">
        <v>306</v>
      </c>
      <c r="C2" s="38" t="s">
        <v>306</v>
      </c>
      <c r="D2" s="38" t="s">
        <v>306</v>
      </c>
      <c r="E2" s="38" t="s">
        <v>306</v>
      </c>
      <c r="F2" s="38" t="s">
        <v>306</v>
      </c>
      <c r="G2" s="38" t="s">
        <v>306</v>
      </c>
      <c r="H2" s="38" t="s">
        <v>306</v>
      </c>
    </row>
    <row r="4" spans="1:8" ht="15">
      <c r="A4" s="1" t="s">
        <v>307</v>
      </c>
      <c r="B4" s="1" t="str">
        <f>IF(COUNTIF(F7:F20,"FAIL")=0,"PASS","FAIL")</f>
        <v>PASS</v>
      </c>
    </row>
    <row r="6" spans="1:8" ht="27.95" customHeight="1">
      <c r="A6" s="3" t="s">
        <v>308</v>
      </c>
      <c r="B6" s="3" t="s">
        <v>309</v>
      </c>
      <c r="C6" s="3" t="s">
        <v>310</v>
      </c>
      <c r="D6" s="3" t="s">
        <v>311</v>
      </c>
      <c r="E6" s="3" t="s">
        <v>312</v>
      </c>
      <c r="F6" s="3" t="s">
        <v>313</v>
      </c>
      <c r="G6" s="3" t="s">
        <v>314</v>
      </c>
    </row>
    <row r="7" spans="1:8">
      <c r="A7" t="s">
        <v>315</v>
      </c>
      <c r="B7" s="33">
        <f>'01_利润表'!B8</f>
        <v>19112370</v>
      </c>
      <c r="C7" s="33">
        <f>'04_收入与毛利'!B19</f>
        <v>19112370</v>
      </c>
      <c r="D7" s="28">
        <f t="shared" ref="D7:D20" si="0">B7-C7</f>
        <v>0</v>
      </c>
      <c r="E7" s="28">
        <v>0.5</v>
      </c>
      <c r="F7" t="str">
        <f t="shared" ref="F7:F20" si="1">IF(ABS(D7)&lt;=E7,"PASS","FAIL")</f>
        <v>PASS</v>
      </c>
    </row>
    <row r="8" spans="1:8">
      <c r="A8" t="s">
        <v>316</v>
      </c>
      <c r="B8" s="33">
        <f>'01_利润表'!B11</f>
        <v>2419159</v>
      </c>
      <c r="C8" s="33">
        <f>'04_收入与毛利'!G19</f>
        <v>2419159</v>
      </c>
      <c r="D8" s="28">
        <f t="shared" si="0"/>
        <v>0</v>
      </c>
      <c r="E8" s="28">
        <v>0.5</v>
      </c>
      <c r="F8" t="str">
        <f t="shared" si="1"/>
        <v>PASS</v>
      </c>
    </row>
    <row r="9" spans="1:8">
      <c r="A9" t="s">
        <v>317</v>
      </c>
      <c r="B9" s="33">
        <f>'01_利润表'!B11</f>
        <v>2419159</v>
      </c>
      <c r="C9" s="33">
        <f>'01_利润表'!B8+'01_利润表'!B9</f>
        <v>2419159</v>
      </c>
      <c r="D9" s="28">
        <f t="shared" si="0"/>
        <v>0</v>
      </c>
      <c r="E9" s="28">
        <v>0.5</v>
      </c>
      <c r="F9" t="str">
        <f t="shared" si="1"/>
        <v>PASS</v>
      </c>
    </row>
    <row r="10" spans="1:8">
      <c r="A10" t="s">
        <v>318</v>
      </c>
      <c r="B10" s="33">
        <f>'01_利润表'!B20</f>
        <v>820008</v>
      </c>
      <c r="C10" s="33">
        <f>'01_利润表'!B22+'01_利润表'!B23</f>
        <v>820008</v>
      </c>
      <c r="D10" s="28">
        <f t="shared" si="0"/>
        <v>0</v>
      </c>
      <c r="E10" s="28">
        <v>0.5</v>
      </c>
      <c r="F10" t="str">
        <f t="shared" si="1"/>
        <v>PASS</v>
      </c>
    </row>
    <row r="11" spans="1:8">
      <c r="A11" t="s">
        <v>319</v>
      </c>
      <c r="B11" s="33">
        <f>'03_全面收益'!B11</f>
        <v>586533</v>
      </c>
      <c r="C11" s="33">
        <f>'03_全面收益'!B7+'03_全面收益'!B10</f>
        <v>586533</v>
      </c>
      <c r="D11" s="28">
        <f t="shared" si="0"/>
        <v>0</v>
      </c>
      <c r="E11" s="28">
        <v>0.5</v>
      </c>
      <c r="F11" t="str">
        <f t="shared" si="1"/>
        <v>PASS</v>
      </c>
    </row>
    <row r="12" spans="1:8">
      <c r="A12" t="s">
        <v>320</v>
      </c>
      <c r="B12" s="33">
        <f>'03_全面收益'!B11</f>
        <v>586533</v>
      </c>
      <c r="C12" s="33">
        <f>'03_全面收益'!B14</f>
        <v>586533</v>
      </c>
      <c r="D12" s="28">
        <f t="shared" si="0"/>
        <v>0</v>
      </c>
      <c r="E12" s="28">
        <v>0.5</v>
      </c>
      <c r="F12" t="str">
        <f t="shared" si="1"/>
        <v>PASS</v>
      </c>
    </row>
    <row r="13" spans="1:8">
      <c r="A13" t="s">
        <v>321</v>
      </c>
      <c r="B13" s="33">
        <f>'02_资产负债表'!B25</f>
        <v>36467827</v>
      </c>
      <c r="C13" s="33">
        <f>'02_资产负债表'!B16+'02_资产负债表'!B24</f>
        <v>36467827</v>
      </c>
      <c r="D13" s="28">
        <f t="shared" si="0"/>
        <v>0</v>
      </c>
      <c r="E13" s="28">
        <v>0.5</v>
      </c>
      <c r="F13" t="str">
        <f t="shared" si="1"/>
        <v>PASS</v>
      </c>
    </row>
    <row r="14" spans="1:8">
      <c r="A14" t="s">
        <v>322</v>
      </c>
      <c r="B14" s="33">
        <f>'02_资产负债表'!B25</f>
        <v>36467827</v>
      </c>
      <c r="C14" s="33">
        <f>'02_资产负债表'!B32+'02_资产负债表'!B40+'02_资产负债表'!B47</f>
        <v>36467827</v>
      </c>
      <c r="D14" s="28">
        <f t="shared" si="0"/>
        <v>0</v>
      </c>
      <c r="E14" s="28">
        <v>0.5</v>
      </c>
      <c r="F14" t="str">
        <f t="shared" si="1"/>
        <v>PASS</v>
      </c>
    </row>
    <row r="15" spans="1:8">
      <c r="A15" t="s">
        <v>323</v>
      </c>
      <c r="B15" s="33">
        <f>'02_资产负债表'!B33</f>
        <v>1301153</v>
      </c>
      <c r="C15" s="33">
        <f>'02_资产负债表'!B24-'02_资产负债表'!B32</f>
        <v>1301153</v>
      </c>
      <c r="D15" s="28">
        <f t="shared" si="0"/>
        <v>0</v>
      </c>
      <c r="E15" s="28">
        <v>0.5</v>
      </c>
      <c r="F15" t="str">
        <f t="shared" si="1"/>
        <v>PASS</v>
      </c>
    </row>
    <row r="16" spans="1:8">
      <c r="A16" t="s">
        <v>324</v>
      </c>
      <c r="B16" s="33">
        <f>'07_营运资本'!B22</f>
        <v>7002298</v>
      </c>
      <c r="C16" s="33">
        <f>'07_营运资本'!B12</f>
        <v>7002298</v>
      </c>
      <c r="D16" s="28">
        <f t="shared" si="0"/>
        <v>0</v>
      </c>
      <c r="E16" s="28">
        <v>0.5</v>
      </c>
      <c r="F16" t="str">
        <f t="shared" si="1"/>
        <v>PASS</v>
      </c>
    </row>
    <row r="17" spans="1:7">
      <c r="A17" t="s">
        <v>325</v>
      </c>
      <c r="B17" s="33">
        <f>'07_营运资本'!B45</f>
        <v>6922203</v>
      </c>
      <c r="C17" s="33">
        <f>'07_营运资本'!B40</f>
        <v>6922203</v>
      </c>
      <c r="D17" s="28">
        <f t="shared" si="0"/>
        <v>0</v>
      </c>
      <c r="E17" s="28">
        <v>0.5</v>
      </c>
      <c r="F17" t="str">
        <f t="shared" si="1"/>
        <v>PASS</v>
      </c>
    </row>
    <row r="18" spans="1:7">
      <c r="A18" t="s">
        <v>326</v>
      </c>
      <c r="B18" s="33">
        <f>'08_其他附注'!E54</f>
        <v>7204951</v>
      </c>
      <c r="C18" s="33">
        <f>SUM('08_其他附注'!E50:E53)</f>
        <v>7204951</v>
      </c>
      <c r="D18" s="28">
        <f t="shared" si="0"/>
        <v>0</v>
      </c>
      <c r="E18" s="28">
        <v>0.5</v>
      </c>
      <c r="F18" t="str">
        <f t="shared" si="1"/>
        <v>PASS</v>
      </c>
    </row>
    <row r="19" spans="1:7">
      <c r="A19" t="s">
        <v>327</v>
      </c>
      <c r="B19" s="33">
        <f>'05_核心利润'!B33</f>
        <v>1099269</v>
      </c>
      <c r="C19" s="33">
        <f>'05_核心利润'!B29+'05_核心利润'!B30+'05_核心利润'!B31+'05_核心利润'!B32</f>
        <v>1099269</v>
      </c>
      <c r="D19" s="28">
        <f t="shared" si="0"/>
        <v>0</v>
      </c>
      <c r="E19" s="28">
        <v>0.5</v>
      </c>
      <c r="F19" t="str">
        <f t="shared" si="1"/>
        <v>PASS</v>
      </c>
    </row>
    <row r="20" spans="1:7">
      <c r="A20" t="s">
        <v>328</v>
      </c>
      <c r="B20" s="33">
        <f>'00_摘要'!B16</f>
        <v>10366500</v>
      </c>
      <c r="C20" s="33">
        <f>('02_资产负债表'!B21+'02_资产负债表'!B22+'02_资产负债表'!B23)</f>
        <v>10366500</v>
      </c>
      <c r="D20" s="28">
        <f t="shared" si="0"/>
        <v>0</v>
      </c>
      <c r="E20" s="28">
        <v>1</v>
      </c>
      <c r="F20" t="str">
        <f t="shared" si="1"/>
        <v>PASS</v>
      </c>
      <c r="G20" t="s">
        <v>329</v>
      </c>
    </row>
  </sheetData>
  <mergeCells count="2">
    <mergeCell ref="A1:G1"/>
    <mergeCell ref="A2:H2"/>
  </mergeCells>
  <phoneticPr fontId="15" type="noConversion"/>
  <conditionalFormatting sqref="F7:F20">
    <cfRule type="containsText" dxfId="1" priority="1" operator="containsText" text="PASS"/>
    <cfRule type="containsText" dxfId="0" priority="2" operator="containsText" text="FAIL"/>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7"/>
  <sheetViews>
    <sheetView showGridLines="0" workbookViewId="0"/>
  </sheetViews>
  <sheetFormatPr defaultRowHeight="14.25"/>
  <cols>
    <col min="1" max="1" width="18" customWidth="1"/>
    <col min="2" max="2" width="24" customWidth="1"/>
    <col min="3" max="3" width="64" customWidth="1"/>
    <col min="4" max="4" width="20" customWidth="1"/>
    <col min="5" max="5" width="28" customWidth="1"/>
    <col min="6" max="6" width="18" customWidth="1"/>
    <col min="7" max="7" width="36" customWidth="1"/>
  </cols>
  <sheetData>
    <row r="1" spans="1:8" ht="30" customHeight="1">
      <c r="A1" s="37" t="s">
        <v>330</v>
      </c>
      <c r="B1" s="37" t="s">
        <v>330</v>
      </c>
      <c r="C1" s="37" t="s">
        <v>330</v>
      </c>
      <c r="D1" s="37" t="s">
        <v>330</v>
      </c>
      <c r="E1" s="37" t="s">
        <v>330</v>
      </c>
      <c r="F1" s="37" t="s">
        <v>330</v>
      </c>
      <c r="G1" s="37" t="s">
        <v>330</v>
      </c>
    </row>
    <row r="2" spans="1:8" ht="24.95" customHeight="1">
      <c r="A2" s="38" t="s">
        <v>331</v>
      </c>
      <c r="B2" s="38" t="s">
        <v>331</v>
      </c>
      <c r="C2" s="38" t="s">
        <v>331</v>
      </c>
      <c r="D2" s="38" t="s">
        <v>331</v>
      </c>
      <c r="E2" s="38" t="s">
        <v>331</v>
      </c>
      <c r="F2" s="38" t="s">
        <v>331</v>
      </c>
      <c r="G2" s="38" t="s">
        <v>331</v>
      </c>
      <c r="H2" s="38" t="s">
        <v>331</v>
      </c>
    </row>
    <row r="5" spans="1:8" ht="27.95" customHeight="1">
      <c r="A5" s="3" t="s">
        <v>332</v>
      </c>
      <c r="B5" s="3" t="s">
        <v>51</v>
      </c>
      <c r="C5" s="3" t="s">
        <v>333</v>
      </c>
      <c r="D5" s="3" t="s">
        <v>334</v>
      </c>
      <c r="E5" s="3" t="s">
        <v>335</v>
      </c>
      <c r="F5" s="3" t="s">
        <v>336</v>
      </c>
      <c r="G5" s="3" t="s">
        <v>13</v>
      </c>
    </row>
    <row r="7" spans="1:8" ht="42" customHeight="1">
      <c r="A7" s="34" t="s">
        <v>337</v>
      </c>
      <c r="B7" s="34" t="s">
        <v>338</v>
      </c>
      <c r="C7" s="34" t="s">
        <v>339</v>
      </c>
      <c r="D7" s="34" t="s">
        <v>7</v>
      </c>
      <c r="E7" s="35" t="s">
        <v>340</v>
      </c>
      <c r="F7" s="35" t="s">
        <v>341</v>
      </c>
      <c r="G7" s="34" t="s">
        <v>342</v>
      </c>
    </row>
    <row r="8" spans="1:8" ht="42" customHeight="1">
      <c r="A8" s="34" t="s">
        <v>11</v>
      </c>
      <c r="B8" s="34" t="s">
        <v>343</v>
      </c>
      <c r="C8" s="34" t="s">
        <v>344</v>
      </c>
      <c r="D8" s="34" t="s">
        <v>345</v>
      </c>
      <c r="E8" s="35" t="s">
        <v>340</v>
      </c>
      <c r="F8" s="35" t="s">
        <v>346</v>
      </c>
      <c r="G8" s="34"/>
    </row>
    <row r="9" spans="1:8" ht="42" customHeight="1">
      <c r="A9" s="34" t="s">
        <v>347</v>
      </c>
      <c r="B9" s="34" t="s">
        <v>348</v>
      </c>
      <c r="C9" s="34" t="s">
        <v>349</v>
      </c>
      <c r="D9" s="34" t="s">
        <v>350</v>
      </c>
      <c r="E9" s="35" t="s">
        <v>340</v>
      </c>
      <c r="F9" s="35" t="s">
        <v>351</v>
      </c>
      <c r="G9" s="34"/>
    </row>
    <row r="10" spans="1:8" ht="42" customHeight="1">
      <c r="A10" s="34" t="s">
        <v>347</v>
      </c>
      <c r="B10" s="34" t="s">
        <v>352</v>
      </c>
      <c r="C10" s="34" t="s">
        <v>353</v>
      </c>
      <c r="D10" s="34" t="s">
        <v>70</v>
      </c>
      <c r="E10" s="35" t="s">
        <v>340</v>
      </c>
      <c r="F10" s="35" t="s">
        <v>354</v>
      </c>
      <c r="G10" s="34"/>
    </row>
    <row r="11" spans="1:8" ht="42" customHeight="1">
      <c r="A11" s="34" t="s">
        <v>355</v>
      </c>
      <c r="B11" s="34" t="s">
        <v>356</v>
      </c>
      <c r="C11" s="34" t="s">
        <v>357</v>
      </c>
      <c r="D11" s="34" t="s">
        <v>7</v>
      </c>
      <c r="E11" s="35" t="s">
        <v>340</v>
      </c>
      <c r="F11" s="35" t="s">
        <v>358</v>
      </c>
      <c r="G11" s="34"/>
    </row>
    <row r="12" spans="1:8" ht="42" customHeight="1">
      <c r="A12" s="34" t="s">
        <v>355</v>
      </c>
      <c r="B12" s="34" t="s">
        <v>359</v>
      </c>
      <c r="C12" s="34" t="s">
        <v>360</v>
      </c>
      <c r="D12" s="34" t="s">
        <v>7</v>
      </c>
      <c r="E12" s="35" t="s">
        <v>340</v>
      </c>
      <c r="F12" s="35" t="s">
        <v>358</v>
      </c>
      <c r="G12" s="34"/>
    </row>
    <row r="13" spans="1:8" ht="42" customHeight="1">
      <c r="A13" s="34" t="s">
        <v>355</v>
      </c>
      <c r="B13" s="34" t="s">
        <v>24</v>
      </c>
      <c r="C13" s="34" t="s">
        <v>361</v>
      </c>
      <c r="D13" s="34" t="s">
        <v>7</v>
      </c>
      <c r="E13" s="35" t="s">
        <v>340</v>
      </c>
      <c r="F13" s="35" t="s">
        <v>358</v>
      </c>
      <c r="G13" s="34"/>
    </row>
    <row r="14" spans="1:8" ht="42" customHeight="1">
      <c r="A14" s="34" t="s">
        <v>362</v>
      </c>
      <c r="B14" s="34" t="s">
        <v>363</v>
      </c>
      <c r="C14" s="34" t="s">
        <v>364</v>
      </c>
      <c r="D14" s="34" t="s">
        <v>7</v>
      </c>
      <c r="E14" s="35" t="s">
        <v>340</v>
      </c>
      <c r="F14" s="35" t="s">
        <v>365</v>
      </c>
      <c r="G14" s="34" t="s">
        <v>366</v>
      </c>
    </row>
    <row r="15" spans="1:8" ht="42" customHeight="1">
      <c r="A15" s="34" t="s">
        <v>367</v>
      </c>
      <c r="B15" s="34" t="s">
        <v>368</v>
      </c>
      <c r="C15" s="34" t="s">
        <v>369</v>
      </c>
      <c r="D15" s="34" t="s">
        <v>7</v>
      </c>
      <c r="E15" s="35" t="s">
        <v>340</v>
      </c>
      <c r="F15" s="35" t="s">
        <v>370</v>
      </c>
      <c r="G15" s="34" t="s">
        <v>371</v>
      </c>
    </row>
    <row r="16" spans="1:8" ht="42" customHeight="1">
      <c r="A16" s="34" t="s">
        <v>372</v>
      </c>
      <c r="B16" s="34" t="s">
        <v>373</v>
      </c>
      <c r="C16" s="34" t="s">
        <v>374</v>
      </c>
      <c r="D16" s="34"/>
      <c r="E16" s="35"/>
      <c r="F16" s="35"/>
      <c r="G16" s="34"/>
    </row>
    <row r="17" spans="1:7" ht="42" customHeight="1">
      <c r="A17" s="34" t="s">
        <v>372</v>
      </c>
      <c r="B17" s="34" t="s">
        <v>375</v>
      </c>
      <c r="C17" s="34" t="s">
        <v>376</v>
      </c>
      <c r="D17" s="34"/>
      <c r="E17" s="35"/>
      <c r="F17" s="35"/>
      <c r="G17" s="34"/>
    </row>
  </sheetData>
  <mergeCells count="2">
    <mergeCell ref="A1:G1"/>
    <mergeCell ref="A2:H2"/>
  </mergeCells>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00_摘要</vt:lpstr>
      <vt:lpstr>01_利润表</vt:lpstr>
      <vt:lpstr>02_资产负债表</vt:lpstr>
      <vt:lpstr>03_全面收益</vt:lpstr>
      <vt:lpstr>04_收入与毛利</vt:lpstr>
      <vt:lpstr>05_核心利润</vt:lpstr>
      <vt:lpstr>06_经营指标</vt:lpstr>
      <vt:lpstr>07_营运资本</vt:lpstr>
      <vt:lpstr>08_其他附注</vt:lpstr>
      <vt:lpstr>09_校验</vt:lpstr>
      <vt:lpstr>10_来源与口径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顾家珲(gujiahui01)</cp:lastModifiedBy>
  <dcterms:modified xsi:type="dcterms:W3CDTF">2026-08-25T08:19:41Z</dcterms:modified>
</cp:coreProperties>
</file>