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2d6341195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摘要" sheetId="1" r:id="R5f7fbc283ac24b6c"/>
    <x:sheet xmlns:r="http://schemas.openxmlformats.org/officeDocument/2006/relationships" name="01_利润表" sheetId="2" r:id="Re7689702beac4b63"/>
    <x:sheet xmlns:r="http://schemas.openxmlformats.org/officeDocument/2006/relationships" name="02_资产负债表" sheetId="3" r:id="R59a681aaccf34e2e"/>
    <x:sheet xmlns:r="http://schemas.openxmlformats.org/officeDocument/2006/relationships" name="03_现金流量表" sheetId="4" r:id="R464fc8ad786b48e4"/>
    <x:sheet xmlns:r="http://schemas.openxmlformats.org/officeDocument/2006/relationships" name="04_收入与毛利" sheetId="5" r:id="Rdd114c7931e34483"/>
    <x:sheet xmlns:r="http://schemas.openxmlformats.org/officeDocument/2006/relationships" name="05_区域分部" sheetId="6" r:id="Rb61128c4682249a4"/>
    <x:sheet xmlns:r="http://schemas.openxmlformats.org/officeDocument/2006/relationships" name="06_经营指标" sheetId="7" r:id="R8e495665f80a4a7e"/>
    <x:sheet xmlns:r="http://schemas.openxmlformats.org/officeDocument/2006/relationships" name="07_营运资本" sheetId="8" r:id="Rbdc155336b12478c"/>
    <x:sheet xmlns:r="http://schemas.openxmlformats.org/officeDocument/2006/relationships" name="08_财务附注" sheetId="9" r:id="Rd68d2dcd83c04f00"/>
    <x:sheet xmlns:r="http://schemas.openxmlformats.org/officeDocument/2006/relationships" name="09_校验" sheetId="10" r:id="Rfda0897e8fe742e8"/>
    <x:sheet xmlns:r="http://schemas.openxmlformats.org/officeDocument/2006/relationships" name="10_来源口径" sheetId="11" r:id="R3973b981e4b4413f"/>
  </x:sheets>
</x:workbook>
</file>

<file path=xl/comments1.xml><?xml version="1.0" encoding="utf-8"?>
<x:comments xmlns:x="http://schemas.openxmlformats.org/spreadsheetml/2006/main">
  <x:authors>
    <x:author>tc={250763FA-0B59-D134-C11B-E2ECEAF8FE98}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来源：26H1-绿城服务业绩.pdf | 第3页 | 收入</x:t>
        </x:r>
      </x:text>
    </x:comment>
  </x:commentList>
</x:comments>
</file>

<file path=xl/comments2.xml><?xml version="1.0" encoding="utf-8"?>
<x:comments xmlns:x="http://schemas.openxmlformats.org/spreadsheetml/2006/main">
  <x:authors>
    <x:author>tc={196FA063-896E-3E79-9923-E27F2C0C72D3}</x:author>
  </x:authors>
  <x:commentList>
    <x:comment ref="B2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来源：26H1-绿城服务业绩.pdf | 第5页 | 现金及现金等价物</x:t>
        </x:r>
      </x:text>
    </x:comment>
  </x:commentList>
</x:comments>
</file>

<file path=xl/comments3.xml><?xml version="1.0" encoding="utf-8"?>
<x:comments xmlns:x="http://schemas.openxmlformats.org/spreadsheetml/2006/main">
  <x:authors>
    <x:author>tc={996623FA-44BC-A6BE-3223-1A891E9B924F}</x:author>
  </x:authors>
  <x:commentList>
    <x:comment ref="B2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来源：26H1-绿城服务业绩.pdf | 第28页 | 收入合计</x:t>
        </x:r>
      </x:text>
    </x:comment>
  </x:commentList>
</x:comments>
</file>

<file path=xl/comments4.xml><?xml version="1.0" encoding="utf-8"?>
<x:comments xmlns:x="http://schemas.openxmlformats.org/spreadsheetml/2006/main">
  <x:authors>
    <x:author>tc={6263E09B-466B-FE0F-D84D-373BDB69ABF9}</x:author>
  </x:authors>
  <x:commentList>
    <x:comment ref="B1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来源：26H1-绿城服务业绩.pdf | 第13页 | 区域外部客户收入合计</x:t>
        </x:r>
      </x:text>
    </x:comment>
  </x:commentList>
</x:comments>
</file>

<file path=xl/comments5.xml><?xml version="1.0" encoding="utf-8"?>
<x:comments xmlns:x="http://schemas.openxmlformats.org/spreadsheetml/2006/main">
  <x:authors>
    <x:author>tc={6DEF9644-14B2-3E7B-1EC0-76486A6C6E16}</x:author>
  </x:authors>
  <x:commentList>
    <x:comment ref="B1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来源：26H1-绿城服务业绩.pdf | 第19页 | 贸易及其他应收款合计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;[Red](0.0%);-"/>
    <x:numFmt numFmtId="202" formatCode="0.000"/>
    <x:numFmt numFmtId="203" formatCode="0.00x"/>
    <x:numFmt numFmtId="204" formatCode="#,##0.0;[Red](#,##0.0);-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17365D"/>
      <x:name val="Carlito"/>
    </x:font>
    <x:font>
      <x:sz val="11"/>
      <x:color rgb="FF666666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11"/>
      <x:name val="Carlito"/>
    </x:font>
    <x:font>
      <x:i/>
      <x:sz val="9"/>
      <x:color rgb="FF666666"/>
      <x:name val="Carlito"/>
    </x:font>
    <x:font>
      <x:b/>
      <x:i/>
      <x:sz val="9"/>
      <x:color rgb="FF66666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3">
    <x:border/>
    <x:border>
      <x:bottom style="thin">
        <x:color rgb="FFA6A6A6"/>
      </x:bottom>
    </x:border>
    <x:border>
      <x:top style="thin">
        <x:color rgb="FF7F7F7F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0" fontId="7" fillId="7" borderId="0" xfId="0" applyNumberFormat="1" applyFont="1" applyFill="1" applyBorder="1"/>
    <x:xf numFmtId="200" fontId="7" fillId="7" borderId="0" xfId="0" applyNumberFormat="1" applyFont="1" applyFill="1" applyBorder="1"/>
    <x:xf numFmtId="201" fontId="7" fillId="7" borderId="0" xfId="0" applyNumberFormat="1" applyFont="1" applyFill="1" applyBorder="1"/>
    <x:xf numFmtId="0" fontId="7" fillId="7" borderId="2" xfId="0" applyNumberFormat="1" applyFont="1" applyFill="1" applyBorder="1"/>
    <x:xf numFmtId="200" fontId="7" fillId="7" borderId="2" xfId="0" applyNumberFormat="1" applyFont="1" applyFill="1" applyBorder="1"/>
    <x:xf numFmtId="201" fontId="7" fillId="7" borderId="2" xfId="0" applyNumberFormat="1" applyFont="1" applyFill="1" applyBorder="1"/>
    <x:xf numFmtId="0" fontId="8" fillId="0" borderId="0" xfId="0" applyNumberFormat="1" applyFont="1" applyFill="1" applyBorder="1"/>
    <x:xf numFmtId="0" fontId="9" fillId="7" borderId="2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200" fontId="3" fillId="6" borderId="1" xfId="0" applyNumberFormat="1" applyFont="1" applyFill="1" applyBorder="1" applyAlignment="1">
      <x:alignment vertical="center" wrapText="1"/>
    </x:xf>
    <x:xf numFmtId="201" fontId="5" fillId="2" borderId="0" xfId="0" applyNumberFormat="1" applyFont="1" applyFill="1" applyBorder="1" applyAlignment="1">
      <x:alignment vertical="center"/>
    </x:xf>
    <x:xf numFmtId="201" fontId="3" fillId="6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204" fontId="5" fillId="2" borderId="0" xfId="0" applyNumberFormat="1" applyFont="1" applyFill="1" applyBorder="1" applyAlignment="1">
      <x:alignment vertical="center"/>
    </x:xf>
    <x:xf numFmtId="204" fontId="3" fillId="6" borderId="1" xfId="0" applyNumberFormat="1" applyFont="1" applyFill="1" applyBorder="1" applyAlignment="1">
      <x:alignment vertical="center" wrapText="1"/>
    </x:xf>
    <x:xf numFmtId="204" fontId="0" fillId="7" borderId="0" xfId="0" applyNumberFormat="1" applyFont="1" applyFill="1" applyBorder="1"/>
    <x:xf numFmtId="204" fontId="7" fillId="7" borderId="0" xfId="0" applyNumberFormat="1" applyFont="1" applyFill="1" applyBorder="1"/>
    <x:xf numFmtId="204" fontId="7" fillId="7" borderId="2" xfId="0" applyNumberFormat="1" applyFont="1" applyFill="1" applyBorder="1"/>
    <x:xf numFmtId="204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5f10b74a840c8" /><Relationship Type="http://schemas.openxmlformats.org/officeDocument/2006/relationships/theme" Target="/xl/theme/theme1.xml" Id="R5fb75db9bb4848c0" /><Relationship Type="http://schemas.openxmlformats.org/officeDocument/2006/relationships/sharedStrings" Target="/xl/sharedStrings.xml" Id="R5417ebd3be884769" /><Relationship Type="http://schemas.openxmlformats.org/officeDocument/2006/relationships/worksheet" Target="/xl/worksheets/sheet1.xml" Id="R5f7fbc283ac24b6c" /><Relationship Type="http://schemas.openxmlformats.org/officeDocument/2006/relationships/worksheet" Target="/xl/worksheets/sheet2.xml" Id="Re7689702beac4b63" /><Relationship Type="http://schemas.openxmlformats.org/officeDocument/2006/relationships/worksheet" Target="/xl/worksheets/sheet3.xml" Id="R59a681aaccf34e2e" /><Relationship Type="http://schemas.openxmlformats.org/officeDocument/2006/relationships/worksheet" Target="/xl/worksheets/sheet4.xml" Id="R464fc8ad786b48e4" /><Relationship Type="http://schemas.openxmlformats.org/officeDocument/2006/relationships/worksheet" Target="/xl/worksheets/sheet5.xml" Id="Rdd114c7931e34483" /><Relationship Type="http://schemas.openxmlformats.org/officeDocument/2006/relationships/worksheet" Target="/xl/worksheets/sheet6.xml" Id="Rb61128c4682249a4" /><Relationship Type="http://schemas.openxmlformats.org/officeDocument/2006/relationships/worksheet" Target="/xl/worksheets/sheet7.xml" Id="R8e495665f80a4a7e" /><Relationship Type="http://schemas.openxmlformats.org/officeDocument/2006/relationships/worksheet" Target="/xl/worksheets/sheet8.xml" Id="Rbdc155336b12478c" /><Relationship Type="http://schemas.openxmlformats.org/officeDocument/2006/relationships/worksheet" Target="/xl/worksheets/sheet9.xml" Id="Rd68d2dcd83c04f00" /><Relationship Type="http://schemas.openxmlformats.org/officeDocument/2006/relationships/worksheet" Target="/xl/worksheets/sheet10.xml" Id="Rfda0897e8fe742e8" /><Relationship Type="http://schemas.openxmlformats.org/officeDocument/2006/relationships/worksheet" Target="/xl/worksheets/sheet11.xml" Id="R3973b981e4b4413f" /><Relationship Type="http://schemas.microsoft.com/office/2017/10/relationships/person" Target="/xl/persons/person.xml" Id="R0bf49dd42fc942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8adb173a0a41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三大业务收入对比（人民币千元）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2026H1</c:v>
          </c:tx>
          <c:cat>
            <c:strRef>
              <c:f>'00_摘要'!$A$24:$A$26</c:f>
              <c:strCache>
                <c:ptCount val="0"/>
              </c:strCache>
            </c:strRef>
          </c:cat>
          <c:val>
            <c:numRef>
              <c:f>'00_摘要'!$B$24:$B$26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2025H1</c:v>
          </c:tx>
          <c:cat>
            <c:strRef>
              <c:f>'00_摘要'!$A$24:$A$26</c:f>
              <c:strCache>
                <c:ptCount val="0"/>
              </c:strCache>
            </c:strRef>
          </c:cat>
          <c:val>
            <c:numRef>
              <c:f>'00_摘要'!$C$24:$C$26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21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8adb173a0a419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老顾" id="{9D6531DE-7904-4983-9564-41BB7980197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8-24T02:01:33.555" personId="{9D6531DE-7904-4983-9564-41BB7980197B}" id="{250763FA-0B59-D134-C11B-E2ECEAF8FE98}">
    <xltc:text>来源：26H1-绿城服务业绩.pdf | 第3页 | 收入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28" dT="2026-08-24T02:01:33.556" personId="{9D6531DE-7904-4983-9564-41BB7980197B}" id="{196FA063-896E-3E79-9923-E27F2C0C72D3}">
    <xltc:text>来源：26H1-绿城服务业绩.pdf | 第5页 | 现金及现金等价物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26" dT="2026-08-24T02:01:33.556" personId="{9D6531DE-7904-4983-9564-41BB7980197B}" id="{996623FA-44BC-A6BE-3223-1A891E9B924F}">
    <xltc:text>来源：26H1-绿城服务业绩.pdf | 第28页 | 收入合计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14" dT="2026-08-24T02:01:33.556" personId="{9D6531DE-7904-4983-9564-41BB7980197B}" id="{6263E09B-466B-FE0F-D84D-373BDB69ABF9}">
    <xltc:text>来源：26H1-绿城服务业绩.pdf | 第13页 | 区域外部客户收入合计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B19" dT="2026-08-24T02:01:33.556" personId="{9D6531DE-7904-4983-9564-41BB7980197B}" id="{6DEF9644-14B2-3E7B-1EC0-76486A6C6E16}">
    <xltc:text>来源：26H1-绿城服务业绩.pdf | 第19页 | 贸易及其他应收款合计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86fafb2ccf4d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6a834396cff4193" /><Relationship Type="http://schemas.openxmlformats.org/officeDocument/2006/relationships/vmlDrawing" Target="/xl/drawings/vmldrawing.vml" Id="R9bf0246d7eb04ad5" /><Relationship Type="http://schemas.microsoft.com/office/2017/10/relationships/threadedComment" Target="/xl/threadedcomments/threadedcomment.xml" Id="Red4caf30722042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de28c26747ef4cba" /><Relationship Type="http://schemas.openxmlformats.org/officeDocument/2006/relationships/vmlDrawing" Target="/xl/drawings/vmldrawing2.vml" Id="R5cde9aaa8aac443f" /><Relationship Type="http://schemas.microsoft.com/office/2017/10/relationships/threadedComment" Target="/xl/threadedcomments/threadedcomment2.xml" Id="R3ed54ea3a9cd48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39036184468a44e5" /><Relationship Type="http://schemas.openxmlformats.org/officeDocument/2006/relationships/vmlDrawing" Target="/xl/drawings/vmldrawing3.vml" Id="R0cda650c586e4881" /><Relationship Type="http://schemas.microsoft.com/office/2017/10/relationships/threadedComment" Target="/xl/threadedcomments/threadedcomment3.xml" Id="R8e62ed592a024b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799869411fe24061" /><Relationship Type="http://schemas.openxmlformats.org/officeDocument/2006/relationships/vmlDrawing" Target="/xl/drawings/vmldrawing4.vml" Id="Ra21f7b08a5a044ac" /><Relationship Type="http://schemas.microsoft.com/office/2017/10/relationships/threadedComment" Target="/xl/threadedcomments/threadedcomment4.xml" Id="R57c2d8ebea7041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5.xml" Id="Rcdd25b3581a94c41" /><Relationship Type="http://schemas.openxmlformats.org/officeDocument/2006/relationships/vmlDrawing" Target="/xl/drawings/vmldrawing5.vml" Id="R10350b4eb935419b" /><Relationship Type="http://schemas.microsoft.com/office/2017/10/relationships/threadedComment" Target="/xl/threadedcomments/threadedcomment5.xml" Id="Rdc9364a4639a4b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8" hidden="0" customWidth="1"/>
    <x:col min="7" max="7" width="14" hidden="0" customWidth="1"/>
    <x:col min="8" max="8" width="36" hidden="0" customWidth="1"/>
  </x:cols>
  <x:sheetData>
    <x:row r="1" ht="30" customHeight="1">
      <x:c r="A1" s="3" t="str">
        <x:v>绿城服务2026年上半年财务数据整理</x:v>
      </x:c>
      <x:c r="B1" s="3" t="str">
        <x:v>绿城服务2026年上半年财务数据整理</x:v>
      </x:c>
      <x:c r="C1" s="3" t="str">
        <x:v>绿城服务2026年上半年财务数据整理</x:v>
      </x:c>
      <x:c r="D1" s="3" t="str">
        <x:v>绿城服务2026年上半年财务数据整理</x:v>
      </x:c>
      <x:c r="E1" s="3" t="str">
        <x:v>绿城服务2026年上半年财务数据整理</x:v>
      </x:c>
      <x:c r="F1" s="3" t="str">
        <x:v>绿城服务2026年上半年财务数据整理</x:v>
      </x:c>
      <x:c r="G1" s="3" t="str">
        <x:v>绿城服务2026年上半年财务数据整理</x:v>
      </x:c>
      <x:c r="H1" s="3" t="str">
        <x:v>绿城服务2026年上半年财务数据整理</x:v>
      </x:c>
    </x:row>
    <x:row r="2" ht="26" customHeight="1">
      <x:c r="A2" s="6" t="str">
        <x:v>截至2026年6月30日止六个月 | 未经审核 | 币种：人民币 | 报告金额默认人民币千元</x:v>
      </x:c>
      <x:c r="B2" s="6" t="str">
        <x:v>截至2026年6月30日止六个月 | 未经审核 | 币种：人民币 | 报告金额默认人民币千元</x:v>
      </x:c>
      <x:c r="C2" s="6" t="str">
        <x:v>截至2026年6月30日止六个月 | 未经审核 | 币种：人民币 | 报告金额默认人民币千元</x:v>
      </x:c>
      <x:c r="D2" s="6" t="str">
        <x:v>截至2026年6月30日止六个月 | 未经审核 | 币种：人民币 | 报告金额默认人民币千元</x:v>
      </x:c>
      <x:c r="E2" s="6" t="str">
        <x:v>截至2026年6月30日止六个月 | 未经审核 | 币种：人民币 | 报告金额默认人民币千元</x:v>
      </x:c>
      <x:c r="F2" s="6" t="str">
        <x:v>截至2026年6月30日止六个月 | 未经审核 | 币种：人民币 | 报告金额默认人民币千元</x:v>
      </x:c>
      <x:c r="G2" s="6" t="str">
        <x:v>截至2026年6月30日止六个月 | 未经审核 | 币种：人民币 | 报告金额默认人民币千元</x:v>
      </x:c>
      <x:c r="H2" s="6" t="str">
        <x:v>截至2026年6月30日止六个月 | 未经审核 | 币种：人民币 | 报告金额默认人民币千元</x:v>
      </x:c>
    </x:row>
    <x:row r="4">
      <x:c r="A4" s="8" t="str">
        <x:v>工作簿状态</x:v>
      </x:c>
      <x:c r="B4" s="8" t="str">
        <x:v>PASS（见09_校验）</x:v>
      </x:c>
      <x:c r="D4" s="11" t="str">
        <x:v>利润表同比2025H1；资产负债表对2025年末。2025年区域分部比较数按公告重新分类口径；所有派生指标均为Excel公式。</x:v>
      </x:c>
      <x:c r="E4" s="11" t="str">
        <x:v>利润表同比2025H1；资产负债表对2025年末。2025年区域分部比较数按公告重新分类口径；所有派生指标均为Excel公式。</x:v>
      </x:c>
      <x:c r="F4" s="11" t="str">
        <x:v>利润表同比2025H1；资产负债表对2025年末。2025年区域分部比较数按公告重新分类口径；所有派生指标均为Excel公式。</x:v>
      </x:c>
      <x:c r="G4" s="11" t="str">
        <x:v>利润表同比2025H1；资产负债表对2025年末。2025年区域分部比较数按公告重新分类口径；所有派生指标均为Excel公式。</x:v>
      </x:c>
      <x:c r="H4" s="11" t="str">
        <x:v>利润表同比2025H1；资产负债表对2025年末。2025年区域分部比较数按公告重新分类口径；所有派生指标均为Excel公式。</x:v>
      </x:c>
    </x:row>
    <x:row r="6" ht="22" customHeight="1">
      <x:c r="A6" s="13" t="str">
        <x:v>核心财务指标</x:v>
      </x:c>
      <x:c r="B6" s="13" t="str">
        <x:v>核心财务指标</x:v>
      </x:c>
      <x:c r="C6" s="13" t="str">
        <x:v>核心财务指标</x:v>
      </x:c>
      <x:c r="D6" s="13" t="str">
        <x:v>核心财务指标</x:v>
      </x:c>
      <x:c r="E6" s="13" t="str">
        <x:v>核心财务指标</x:v>
      </x:c>
      <x:c r="F6" s="13" t="str">
        <x:v>核心财务指标</x:v>
      </x:c>
      <x:c r="G6" s="13" t="str">
        <x:v>核心财务指标</x:v>
      </x:c>
      <x:c r="H6" s="13" t="str">
        <x:v>核心财务指标</x:v>
      </x:c>
    </x:row>
    <x:row r="7" ht="28" customHeight="1">
      <x:c r="A7" s="18" t="str">
        <x:v>指标</x:v>
      </x:c>
      <x:c r="B7" s="18" t="str">
        <x:v>2026H1/期末</x:v>
      </x:c>
      <x:c r="C7" s="18" t="str">
        <x:v>2025H1/期初</x:v>
      </x:c>
      <x:c r="D7" s="18" t="str">
        <x:v>变动额</x:v>
      </x:c>
      <x:c r="E7" s="18" t="str">
        <x:v>变动率</x:v>
      </x:c>
      <x:c r="F7" s="18" t="str">
        <x:v>单位</x:v>
      </x:c>
      <x:c r="G7" s="18" t="str">
        <x:v>来源</x:v>
      </x:c>
      <x:c r="H7" s="18" t="str">
        <x:v>备注</x:v>
      </x:c>
    </x:row>
    <x:row r="8">
      <x:c r="A8" t="str">
        <x:v>营业收入</x:v>
      </x:c>
      <x:c r="B8" s="23" t="n">
        <x:f>'01_利润表'!B7</x:f>
        <x:v>9870856</x:v>
      </x:c>
      <x:c r="C8" s="23" t="n">
        <x:f>'01_利润表'!C7</x:f>
        <x:v>9288711</x:v>
      </x:c>
      <x:c r="D8" s="23" t="n">
        <x:f>B8-C8</x:f>
        <x:v>582145</x:v>
      </x:c>
      <x:c r="E8" s="24" t="n">
        <x:f>IFERROR(B8/C8-1,"")</x:f>
        <x:v>0.06267231265995887</x:v>
      </x:c>
      <x:c r="F8" t="str">
        <x:v>人民币千元</x:v>
      </x:c>
      <x:c r="G8" t="str">
        <x:v>PDF p3</x:v>
      </x:c>
      <x:c r="H8" t="str"/>
    </x:row>
    <x:row r="9">
      <x:c r="A9" t="str">
        <x:v>毛利</x:v>
      </x:c>
      <x:c r="B9" s="23" t="n">
        <x:f>'01_利润表'!B9</x:f>
        <x:v>1969119</x:v>
      </x:c>
      <x:c r="C9" s="23" t="n">
        <x:f>'01_利润表'!C9</x:f>
        <x:v>1808096</x:v>
      </x:c>
      <x:c r="D9" s="23" t="n">
        <x:f>B9-C9</x:f>
        <x:v>161023</x:v>
      </x:c>
      <x:c r="E9" s="24" t="n">
        <x:f>IFERROR(B9/C9-1,"")</x:f>
        <x:v>0.08905666513282484</x:v>
      </x:c>
      <x:c r="F9" t="str">
        <x:v>人民币千元</x:v>
      </x:c>
      <x:c r="G9" t="str">
        <x:v>PDF p3</x:v>
      </x:c>
      <x:c r="H9" t="str"/>
    </x:row>
    <x:row r="10">
      <x:c r="A10" t="str">
        <x:v>毛利率</x:v>
      </x:c>
      <x:c r="B10" s="24" t="n">
        <x:f>'01_利润表'!B9/'01_利润表'!B7</x:f>
        <x:v>0.1994881700229443</x:v>
      </x:c>
      <x:c r="C10" s="24" t="n">
        <x:f>'01_利润表'!C9/'01_利润表'!C7</x:f>
        <x:v>0.19465521104058464</x:v>
      </x:c>
      <x:c r="D10" s="24" t="n">
        <x:f>B10-C10</x:f>
        <x:v>0.004832958982359664</x:v>
      </x:c>
      <x:c r="E10" s="24" t="n">
        <x:f>IFERROR(B10/C10-1,"")</x:f>
        <x:v>0.024828305168526965</x:v>
      </x:c>
      <x:c r="F10" t="str">
        <x:v>%</x:v>
      </x:c>
      <x:c r="G10" t="str">
        <x:v>计算</x:v>
      </x:c>
      <x:c r="H10" t="str">
        <x:v>毛利/收入</x:v>
      </x:c>
    </x:row>
    <x:row r="11">
      <x:c r="A11" t="str">
        <x:v>核心经营利润</x:v>
      </x:c>
      <x:c r="B11" s="23" t="n">
        <x:f>'01_利润表'!B33</x:f>
        <x:v>1249041</x:v>
      </x:c>
      <x:c r="C11" s="23" t="n">
        <x:f>'01_利润表'!C33</x:f>
        <x:v>1073776</x:v>
      </x:c>
      <x:c r="D11" s="23" t="n">
        <x:f>B11-C11</x:f>
        <x:v>175265</x:v>
      </x:c>
      <x:c r="E11" s="24" t="n">
        <x:f>IFERROR(B11/C11-1,"")</x:f>
        <x:v>0.163223055832874</x:v>
      </x:c>
      <x:c r="F11" t="str">
        <x:v>人民币千元</x:v>
      </x:c>
      <x:c r="G11" t="str">
        <x:v>PDF p2 + 计算</x:v>
      </x:c>
      <x:c r="H11" t="str">
        <x:v>毛利-销售及营销开支-行政开支</x:v>
      </x:c>
    </x:row>
    <x:row r="12">
      <x:c r="A12" t="str">
        <x:v>期内利润</x:v>
      </x:c>
      <x:c r="B12" s="23" t="n">
        <x:f>'01_利润表'!B26</x:f>
        <x:v>723616</x:v>
      </x:c>
      <x:c r="C12" s="23" t="n">
        <x:f>'01_利润表'!C26</x:f>
        <x:v>628828</x:v>
      </x:c>
      <x:c r="D12" s="23" t="n">
        <x:f>B12-C12</x:f>
        <x:v>94788</x:v>
      </x:c>
      <x:c r="E12" s="24" t="n">
        <x:f>IFERROR(B12/C12-1,"")</x:f>
        <x:v>0.15073756257673</x:v>
      </x:c>
      <x:c r="F12" t="str">
        <x:v>人民币千元</x:v>
      </x:c>
      <x:c r="G12" t="str">
        <x:v>PDF p3</x:v>
      </x:c>
      <x:c r="H12" t="str"/>
    </x:row>
    <x:row r="13">
      <x:c r="A13" t="str">
        <x:v>归母净利润</x:v>
      </x:c>
      <x:c r="B13" s="23" t="n">
        <x:f>'01_利润表'!B27</x:f>
        <x:v>706277</x:v>
      </x:c>
      <x:c r="C13" s="23" t="n">
        <x:f>'01_利润表'!C27</x:f>
        <x:v>612848</x:v>
      </x:c>
      <x:c r="D13" s="23" t="n">
        <x:f>B13-C13</x:f>
        <x:v>93429</x:v>
      </x:c>
      <x:c r="E13" s="24" t="n">
        <x:f>IFERROR(B13/C13-1,"")</x:f>
        <x:v>0.1524505260684541</x:v>
      </x:c>
      <x:c r="F13" t="str">
        <x:v>人民币千元</x:v>
      </x:c>
      <x:c r="G13" t="str">
        <x:v>PDF p3</x:v>
      </x:c>
      <x:c r="H13" t="str"/>
    </x:row>
    <x:row r="14">
      <x:c r="A14" t="str">
        <x:v>每股基本盈利</x:v>
      </x:c>
      <x:c r="B14" s="25" t="n">
        <x:f>'01_利润表'!B30</x:f>
        <x:v>0.225</x:v>
      </x:c>
      <x:c r="C14" s="25" t="n">
        <x:f>'01_利润表'!C30</x:f>
        <x:v>0.195</x:v>
      </x:c>
      <x:c r="D14" s="25" t="n">
        <x:f>B14-C14</x:f>
        <x:v>0.03</x:v>
      </x:c>
      <x:c r="E14" s="25" t="n">
        <x:f>IFERROR(B14/C14-1,"")</x:f>
        <x:v>0.15384615384615374</x:v>
      </x:c>
      <x:c r="F14" t="str">
        <x:v>人民币元/股</x:v>
      </x:c>
      <x:c r="G14" t="str">
        <x:v>PDF p4</x:v>
      </x:c>
      <x:c r="H14" t="str"/>
    </x:row>
    <x:row r="15">
      <x:c r="A15" t="str">
        <x:v>现金及现金等价物</x:v>
      </x:c>
      <x:c r="B15" s="23" t="n">
        <x:f>'02_资产负债表'!B28</x:f>
        <x:v>4779825</x:v>
      </x:c>
      <x:c r="C15" s="23" t="n">
        <x:f>'02_资产负债表'!C28</x:f>
        <x:v>5319928</x:v>
      </x:c>
      <x:c r="D15" s="23" t="n">
        <x:f>B15-C15</x:f>
        <x:v>-540103</x:v>
      </x:c>
      <x:c r="E15" s="24" t="n">
        <x:f>IFERROR(B15/C15-1,"")</x:f>
        <x:v>-0.10152449431646449</x:v>
      </x:c>
      <x:c r="F15" t="str">
        <x:v>人民币千元</x:v>
      </x:c>
      <x:c r="G15" t="str">
        <x:v>PDF p5</x:v>
      </x:c>
      <x:c r="H15" t="str">
        <x:v>期末对2025年末</x:v>
      </x:c>
    </x:row>
    <x:row r="16">
      <x:c r="A16" t="str">
        <x:v>现金及银行结余（报告口径）</x:v>
      </x:c>
      <x:c r="B16" s="23" t="n">
        <x:v>6558800</x:v>
      </x:c>
      <x:c r="C16" s="23" t="n">
        <x:v>7061900</x:v>
      </x:c>
      <x:c r="D16" s="23" t="n">
        <x:f>B16-C16</x:f>
        <x:v>-503100</x:v>
      </x:c>
      <x:c r="E16" s="24" t="n">
        <x:f>IFERROR(B16/C16-1,"")</x:f>
        <x:v>-0.07124145060111298</x:v>
      </x:c>
      <x:c r="F16" t="str">
        <x:v>人民币千元</x:v>
      </x:c>
      <x:c r="G16" t="str">
        <x:v>PDF p2</x:v>
      </x:c>
      <x:c r="H16" t="str">
        <x:v>百万元一位小数换算</x:v>
      </x:c>
    </x:row>
    <x:row r="17">
      <x:c r="A17" t="str">
        <x:v>贸易应收款净额</x:v>
      </x:c>
      <x:c r="B17" s="23" t="n">
        <x:f>'07_营运资本'!B9</x:f>
        <x:v>6644497</x:v>
      </x:c>
      <x:c r="C17" s="23" t="n">
        <x:f>'07_营运资本'!C9</x:f>
        <x:v>5099597</x:v>
      </x:c>
      <x:c r="D17" s="23" t="n">
        <x:f>B17-C17</x:f>
        <x:v>1544900</x:v>
      </x:c>
      <x:c r="E17" s="24" t="n">
        <x:f>IFERROR(B17/C17-1,"")</x:f>
        <x:v>0.3029455072626328</x:v>
      </x:c>
      <x:c r="F17" t="str">
        <x:v>人民币千元</x:v>
      </x:c>
      <x:c r="G17" t="str">
        <x:v>PDF p19</x:v>
      </x:c>
      <x:c r="H17" t="str">
        <x:v>期末对2025年末</x:v>
      </x:c>
    </x:row>
    <x:row r="18">
      <x:c r="A18" t="str">
        <x:v>流动比率</x:v>
      </x:c>
      <x:c r="B18" s="26" t="n">
        <x:f>'02_资产负债表'!B29/'02_资产负债表'!B38</x:f>
        <x:v>1.4389369656201498</x:v>
      </x:c>
      <x:c r="C18" s="26" t="n">
        <x:f>'02_资产负债表'!C29/'02_资产负债表'!C38</x:f>
        <x:v>1.4199410573317366</x:v>
      </x:c>
      <x:c r="D18" s="26" t="n">
        <x:f>B18-C18</x:f>
        <x:v>0.018995908288413244</x:v>
      </x:c>
      <x:c r="E18" s="24" t="n">
        <x:f>IFERROR(B18/C18-1,"")</x:f>
        <x:v>0.01337795550761034</x:v>
      </x:c>
      <x:c r="F18" t="str">
        <x:v>倍</x:v>
      </x:c>
      <x:c r="G18" t="str">
        <x:v>计算</x:v>
      </x:c>
      <x:c r="H18" t="str">
        <x:v>流动资产/流动负债</x:v>
      </x:c>
    </x:row>
    <x:row r="19">
      <x:c r="A19" t="str">
        <x:v>资产负债率</x:v>
      </x:c>
      <x:c r="B19" s="24" t="n">
        <x:f>('02_资产负债表'!B38+'02_资产负债表'!B46)/'02_资产负债表'!B30</x:f>
        <x:v>0.539718539634665</x:v>
      </x:c>
      <x:c r="C19" s="24" t="n">
        <x:f>('02_资产负债表'!C38+'02_资产负债表'!C46)/'02_资产负债表'!C30</x:f>
        <x:v>0.5240441776605821</x:v>
      </x:c>
      <x:c r="D19" s="24" t="n">
        <x:f>B19-C19</x:f>
        <x:v>0.015674361974082895</x:v>
      </x:c>
      <x:c r="E19" s="24" t="n">
        <x:f>IFERROR(B19/C19-1,"")</x:f>
        <x:v>0.029910382830806048</x:v>
      </x:c>
      <x:c r="F19" t="str">
        <x:v>%</x:v>
      </x:c>
      <x:c r="G19" t="str">
        <x:v>计算</x:v>
      </x:c>
      <x:c r="H19" t="str">
        <x:v>负债总额/资产总额</x:v>
      </x:c>
    </x:row>
    <x:row r="22" ht="22" customHeight="1">
      <x:c r="A22" s="13" t="str">
        <x:v>业务收入结构</x:v>
      </x:c>
      <x:c r="B22" s="13" t="str">
        <x:v>业务收入结构</x:v>
      </x:c>
      <x:c r="C22" s="13" t="str">
        <x:v>业务收入结构</x:v>
      </x:c>
      <x:c r="D22" s="13" t="str">
        <x:v>业务收入结构</x:v>
      </x:c>
      <x:c r="E22" s="13" t="str">
        <x:v>业务收入结构</x:v>
      </x:c>
      <x:c r="F22" s="13" t="str">
        <x:v>业务收入结构</x:v>
      </x:c>
      <x:c r="G22" s="13" t="str">
        <x:v>业务收入结构</x:v>
      </x:c>
      <x:c r="H22" s="13" t="str">
        <x:v>业务收入结构</x:v>
      </x:c>
    </x:row>
    <x:row r="23">
      <x:c r="A23" s="15" t="str">
        <x:v>业务板块</x:v>
      </x:c>
      <x:c r="B23" s="15" t="str">
        <x:v>2026H1</x:v>
      </x:c>
      <x:c r="C23" s="15" t="str">
        <x:v>2025H1</x:v>
      </x:c>
    </x:row>
    <x:row r="24">
      <x:c r="A24" t="str">
        <x:v>物业服务</x:v>
      </x:c>
      <x:c r="B24" s="23" t="n">
        <x:f>'04_收入与毛利'!B7</x:f>
        <x:v>7299569</x:v>
      </x:c>
      <x:c r="C24" s="23" t="n">
        <x:f>'04_收入与毛利'!C7</x:f>
        <x:v>6632856</x:v>
      </x:c>
    </x:row>
    <x:row r="25">
      <x:c r="A25" t="str">
        <x:v>园区服务</x:v>
      </x:c>
      <x:c r="B25" s="23" t="n">
        <x:f>'04_收入与毛利'!B8</x:f>
        <x:v>1266401</x:v>
      </x:c>
      <x:c r="C25" s="23" t="n">
        <x:f>'04_收入与毛利'!C8</x:f>
        <x:v>1356749</x:v>
      </x:c>
    </x:row>
    <x:row r="26">
      <x:c r="A26" t="str">
        <x:v>咨询服务</x:v>
      </x:c>
      <x:c r="B26" s="23" t="n">
        <x:f>'04_收入与毛利'!B9</x:f>
        <x:v>1304886</x:v>
      </x:c>
      <x:c r="C26" s="23" t="n">
        <x:f>'04_收入与毛利'!C9</x:f>
        <x:v>1299106</x:v>
      </x:c>
    </x:row>
  </x:sheetData>
  <x:mergeCells>
    <x:mergeCell ref="A1:H1"/>
    <x:mergeCell ref="A2:H2"/>
    <x:mergeCell ref="D4:H4"/>
    <x:mergeCell ref="A6:H6"/>
    <x:mergeCell ref="A22:H22"/>
  </x:mergeCells>
  <x:pageMargins left="0.7" right="0.7" top="0.75" bottom="0.75" header="0.3" footer="0.3"/>
  <x:drawing xmlns:r="http://schemas.openxmlformats.org/officeDocument/2006/relationships" r:id="R7d86fafb2ccf4db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综合损益表</x:v>
      </x:c>
      <x:c r="B1" s="3" t="str">
        <x:v>综合损益表</x:v>
      </x:c>
      <x:c r="C1" s="3" t="str">
        <x:v>综合损益表</x:v>
      </x:c>
      <x:c r="D1" s="3" t="str">
        <x:v>综合损益表</x:v>
      </x:c>
      <x:c r="E1" s="3" t="str">
        <x:v>综合损益表</x:v>
      </x:c>
      <x:c r="F1" s="3" t="str">
        <x:v>综合损益表</x:v>
      </x:c>
    </x:row>
    <x:row r="2" ht="26" customHeight="1">
      <x:c r="A2" s="6" t="str">
        <x:v>截至2026年6月30日止六个月 | 人民币千元</x:v>
      </x:c>
      <x:c r="B2" s="6" t="str">
        <x:v>截至2026年6月30日止六个月 | 人民币千元</x:v>
      </x:c>
      <x:c r="C2" s="6" t="str">
        <x:v>截至2026年6月30日止六个月 | 人民币千元</x:v>
      </x:c>
      <x:c r="D2" s="6" t="str">
        <x:v>截至2026年6月30日止六个月 | 人民币千元</x:v>
      </x:c>
      <x:c r="E2" s="6" t="str">
        <x:v>截至2026年6月30日止六个月 | 人民币千元</x:v>
      </x:c>
      <x:c r="F2" s="6" t="str">
        <x:v>截至2026年6月30日止六个月 | 人民币千元</x:v>
      </x:c>
    </x:row>
    <x:row r="5" ht="28" customHeight="1">
      <x:c r="A5" s="18" t="str">
        <x:v>项目</x:v>
      </x:c>
      <x:c r="B5" s="18" t="str">
        <x:v>2026H1</x:v>
      </x:c>
      <x:c r="C5" s="18" t="str">
        <x:v>2025H1</x:v>
      </x:c>
      <x:c r="D5" s="18" t="str">
        <x:v>变动额</x:v>
      </x:c>
      <x:c r="E5" s="18" t="str">
        <x:v>变动率</x:v>
      </x:c>
      <x:c r="F5" s="18" t="str">
        <x:v>来源</x:v>
      </x:c>
    </x:row>
    <x:row r="7">
      <x:c r="A7" t="str">
        <x:v>收入</x:v>
      </x:c>
      <x:c r="B7" s="19" t="n">
        <x:v>9870856</x:v>
      </x:c>
      <x:c r="C7" s="19" t="n">
        <x:v>9288711</x:v>
      </x:c>
      <x:c r="D7" s="19" t="n">
        <x:f>IF(OR(B7="",C7=""),"",B7-C7)</x:f>
        <x:v>582145</x:v>
      </x:c>
      <x:c r="E7" s="20" t="n">
        <x:f>IFERROR(B7/C7-1,"")</x:f>
        <x:v>0.06267231265995887</x:v>
      </x:c>
      <x:c r="F7" s="38" t="str">
        <x:v>PDF p3</x:v>
      </x:c>
    </x:row>
    <x:row r="8">
      <x:c r="A8" t="str">
        <x:v>销售成本</x:v>
      </x:c>
      <x:c r="B8" s="19" t="n">
        <x:v>-7901737</x:v>
      </x:c>
      <x:c r="C8" s="19" t="n">
        <x:v>-7480615</x:v>
      </x:c>
      <x:c r="D8" s="19" t="n">
        <x:f>IF(OR(B8="",C8=""),"",B8-C8)</x:f>
        <x:v>-421122</x:v>
      </x:c>
      <x:c r="E8" s="20" t="n">
        <x:f>IFERROR(B8/C8-1,"")</x:f>
        <x:v>0.05629510407900962</x:v>
      </x:c>
      <x:c r="F8" s="38" t="str">
        <x:v>PDF p3</x:v>
      </x:c>
    </x:row>
    <x:row r="9">
      <x:c r="A9" s="33" t="str">
        <x:v>毛利</x:v>
      </x:c>
      <x:c r="B9" s="34" t="n">
        <x:v>1969119</x:v>
      </x:c>
      <x:c r="C9" s="34" t="n">
        <x:v>1808096</x:v>
      </x:c>
      <x:c r="D9" s="34" t="n">
        <x:f>IF(OR(B9="",C9=""),"",B9-C9)</x:f>
        <x:v>161023</x:v>
      </x:c>
      <x:c r="E9" s="35" t="n">
        <x:f>IFERROR(B9/C9-1,"")</x:f>
        <x:v>0.08905666513282484</x:v>
      </x:c>
      <x:c r="F9" s="39" t="str">
        <x:v>PDF p3</x:v>
      </x:c>
    </x:row>
    <x:row r="10">
      <x:c r="A10" t="str">
        <x:v>其他收入</x:v>
      </x:c>
      <x:c r="B10" s="19" t="n">
        <x:v>47830</x:v>
      </x:c>
      <x:c r="C10" s="19" t="n">
        <x:v>39265</x:v>
      </x:c>
      <x:c r="D10" s="19" t="n">
        <x:f>IF(OR(B10="",C10=""),"",B10-C10)</x:f>
        <x:v>8565</x:v>
      </x:c>
      <x:c r="E10" s="20" t="n">
        <x:f>IFERROR(B10/C10-1,"")</x:f>
        <x:v>0.2181331975041385</x:v>
      </x:c>
      <x:c r="F10" s="38" t="str">
        <x:v>PDF p3</x:v>
      </x:c>
    </x:row>
    <x:row r="11">
      <x:c r="A11" t="str">
        <x:v>其他净亏损</x:v>
      </x:c>
      <x:c r="B11" s="19" t="n">
        <x:v>-11504</x:v>
      </x:c>
      <x:c r="C11" s="19" t="n">
        <x:v>-27184</x:v>
      </x:c>
      <x:c r="D11" s="19" t="n">
        <x:f>IF(OR(B11="",C11=""),"",B11-C11)</x:f>
        <x:v>15680</x:v>
      </x:c>
      <x:c r="E11" s="20" t="n">
        <x:f>IFERROR(B11/C11-1,"")</x:f>
        <x:v>-0.5768098881695114</x:v>
      </x:c>
      <x:c r="F11" s="38" t="str">
        <x:v>PDF p3</x:v>
      </x:c>
    </x:row>
    <x:row r="12">
      <x:c r="A12" t="str">
        <x:v>销售及营销开支</x:v>
      </x:c>
      <x:c r="B12" s="19" t="n">
        <x:v>-135925</x:v>
      </x:c>
      <x:c r="C12" s="19" t="n">
        <x:v>-141373</x:v>
      </x:c>
      <x:c r="D12" s="19" t="n">
        <x:f>IF(OR(B12="",C12=""),"",B12-C12)</x:f>
        <x:v>5448</x:v>
      </x:c>
      <x:c r="E12" s="20" t="n">
        <x:f>IFERROR(B12/C12-1,"")</x:f>
        <x:v>-0.038536354183613564</x:v>
      </x:c>
      <x:c r="F12" s="38" t="str">
        <x:v>PDF p3</x:v>
      </x:c>
    </x:row>
    <x:row r="13">
      <x:c r="A13" t="str">
        <x:v>行政开支</x:v>
      </x:c>
      <x:c r="B13" s="19" t="n">
        <x:v>-584153</x:v>
      </x:c>
      <x:c r="C13" s="19" t="n">
        <x:v>-592947</x:v>
      </x:c>
      <x:c r="D13" s="19" t="n">
        <x:f>IF(OR(B13="",C13=""),"",B13-C13)</x:f>
        <x:v>8794</x:v>
      </x:c>
      <x:c r="E13" s="20" t="n">
        <x:f>IFERROR(B13/C13-1,"")</x:f>
        <x:v>-0.014831005131993202</x:v>
      </x:c>
      <x:c r="F13" s="38" t="str">
        <x:v>PDF p3</x:v>
      </x:c>
    </x:row>
    <x:row r="14">
      <x:c r="A14" t="str">
        <x:v>金融工具预期信贷损失</x:v>
      </x:c>
      <x:c r="B14" s="19" t="n">
        <x:v>-260306</x:v>
      </x:c>
      <x:c r="C14" s="19" t="n">
        <x:v>-194512</x:v>
      </x:c>
      <x:c r="D14" s="19" t="n">
        <x:f>IF(OR(B14="",C14=""),"",B14-C14)</x:f>
        <x:v>-65794</x:v>
      </x:c>
      <x:c r="E14" s="20" t="n">
        <x:f>IFERROR(B14/C14-1,"")</x:f>
        <x:v>0.33825162457843216</x:v>
      </x:c>
      <x:c r="F14" s="38" t="str">
        <x:v>PDF p3</x:v>
      </x:c>
    </x:row>
    <x:row r="15">
      <x:c r="A15" t="str">
        <x:v>其他经营开支</x:v>
      </x:c>
      <x:c r="B15" s="19" t="n">
        <x:v>-68589</x:v>
      </x:c>
      <x:c r="C15" s="19" t="n">
        <x:v>-88844</x:v>
      </x:c>
      <x:c r="D15" s="19" t="n">
        <x:f>IF(OR(B15="",C15=""),"",B15-C15)</x:f>
        <x:v>20255</x:v>
      </x:c>
      <x:c r="E15" s="20" t="n">
        <x:f>IFERROR(B15/C15-1,"")</x:f>
        <x:v>-0.22798388186033947</x:v>
      </x:c>
      <x:c r="F15" s="38" t="str">
        <x:v>PDF p3</x:v>
      </x:c>
    </x:row>
    <x:row r="16">
      <x:c r="A16" s="33" t="str">
        <x:v>经营利润</x:v>
      </x:c>
      <x:c r="B16" s="34" t="n">
        <x:v>956472</x:v>
      </x:c>
      <x:c r="C16" s="34" t="n">
        <x:v>802501</x:v>
      </x:c>
      <x:c r="D16" s="34" t="n">
        <x:f>IF(OR(B16="",C16=""),"",B16-C16)</x:f>
        <x:v>153971</x:v>
      </x:c>
      <x:c r="E16" s="35" t="n">
        <x:f>IFERROR(B16/C16-1,"")</x:f>
        <x:v>0.19186393537204305</x:v>
      </x:c>
      <x:c r="F16" s="39" t="str">
        <x:v>PDF p3</x:v>
      </x:c>
    </x:row>
    <x:row r="17">
      <x:c r="A17" t="str">
        <x:v>融资收入</x:v>
      </x:c>
      <x:c r="B17" s="19" t="n">
        <x:v>56800</x:v>
      </x:c>
      <x:c r="C17" s="19" t="n">
        <x:v>50024</x:v>
      </x:c>
      <x:c r="D17" s="19" t="n">
        <x:f>IF(OR(B17="",C17=""),"",B17-C17)</x:f>
        <x:v>6776</x:v>
      </x:c>
      <x:c r="E17" s="20" t="n">
        <x:f>IFERROR(B17/C17-1,"")</x:f>
        <x:v>0.13545498160882774</x:v>
      </x:c>
      <x:c r="F17" s="38" t="str">
        <x:v>PDF p3</x:v>
      </x:c>
    </x:row>
    <x:row r="18">
      <x:c r="A18" t="str">
        <x:v>融资成本</x:v>
      </x:c>
      <x:c r="B18" s="19" t="n">
        <x:v>-14205</x:v>
      </x:c>
      <x:c r="C18" s="19" t="n">
        <x:v>-15394</x:v>
      </x:c>
      <x:c r="D18" s="19" t="n">
        <x:f>IF(OR(B18="",C18=""),"",B18-C18)</x:f>
        <x:v>1189</x:v>
      </x:c>
      <x:c r="E18" s="20" t="n">
        <x:f>IFERROR(B18/C18-1,"")</x:f>
        <x:v>-0.07723788489021699</x:v>
      </x:c>
      <x:c r="F18" s="38" t="str">
        <x:v>PDF p3</x:v>
      </x:c>
    </x:row>
    <x:row r="19">
      <x:c r="A19" s="33" t="str">
        <x:v>融资收入净额</x:v>
      </x:c>
      <x:c r="B19" s="34" t="n">
        <x:v>42595</x:v>
      </x:c>
      <x:c r="C19" s="34" t="n">
        <x:v>34630</x:v>
      </x:c>
      <x:c r="D19" s="34" t="n">
        <x:f>IF(OR(B19="",C19=""),"",B19-C19)</x:f>
        <x:v>7965</x:v>
      </x:c>
      <x:c r="E19" s="35" t="n">
        <x:f>IFERROR(B19/C19-1,"")</x:f>
        <x:v>0.2300028876696505</x:v>
      </x:c>
      <x:c r="F19" s="39" t="str">
        <x:v>PDF p3</x:v>
      </x:c>
    </x:row>
    <x:row r="20">
      <x:c r="A20" t="str">
        <x:v>分占联营公司利润减亏损</x:v>
      </x:c>
      <x:c r="B20" s="19" t="n">
        <x:v>7909</x:v>
      </x:c>
      <x:c r="C20" s="19" t="n">
        <x:v>9692</x:v>
      </x:c>
      <x:c r="D20" s="19" t="n">
        <x:f>IF(OR(B20="",C20=""),"",B20-C20)</x:f>
        <x:v>-1783</x:v>
      </x:c>
      <x:c r="E20" s="20" t="n">
        <x:f>IFERROR(B20/C20-1,"")</x:f>
        <x:v>-0.1839661576557986</x:v>
      </x:c>
      <x:c r="F20" s="38" t="str">
        <x:v>PDF p3</x:v>
      </x:c>
    </x:row>
    <x:row r="21">
      <x:c r="A21" t="str">
        <x:v>分占合营公司利润减亏损</x:v>
      </x:c>
      <x:c r="B21" s="19" t="n">
        <x:v>7397</x:v>
      </x:c>
      <x:c r="C21" s="19" t="n">
        <x:v>6294</x:v>
      </x:c>
      <x:c r="D21" s="19" t="n">
        <x:f>IF(OR(B21="",C21=""),"",B21-C21)</x:f>
        <x:v>1103</x:v>
      </x:c>
      <x:c r="E21" s="20" t="n">
        <x:f>IFERROR(B21/C21-1,"")</x:f>
        <x:v>0.17524626628535112</x:v>
      </x:c>
      <x:c r="F21" s="38" t="str">
        <x:v>PDF p3</x:v>
      </x:c>
    </x:row>
    <x:row r="22">
      <x:c r="A22" t="str">
        <x:v>出售附属公司收益</x:v>
      </x:c>
      <x:c r="B22" s="19" t="n">
        <x:v>0</x:v>
      </x:c>
      <x:c r="C22" s="19" t="n">
        <x:v>1656</x:v>
      </x:c>
      <x:c r="D22" s="19" t="str">
        <x:f>IF(OR(B22="",C22=""),"",B22-C22)</x:f>
      </x:c>
      <x:c r="E22" s="20" t="n">
        <x:f>IFERROR(B22/C22-1,"")</x:f>
        <x:v>-1</x:v>
      </x:c>
      <x:c r="F22" s="38" t="str">
        <x:v>PDF p3</x:v>
      </x:c>
    </x:row>
    <x:row r="23">
      <x:c r="A23" t="str">
        <x:v>出售一间合营公司收益</x:v>
      </x:c>
      <x:c r="B23" s="19" t="n">
        <x:v>43</x:v>
      </x:c>
      <x:c r="C23" s="19" t="n">
        <x:v>997</x:v>
      </x:c>
      <x:c r="D23" s="19" t="n">
        <x:f>IF(OR(B23="",C23=""),"",B23-C23)</x:f>
        <x:v>-954</x:v>
      </x:c>
      <x:c r="E23" s="20" t="n">
        <x:f>IFERROR(B23/C23-1,"")</x:f>
        <x:v>-0.9568706118355065</x:v>
      </x:c>
      <x:c r="F23" s="38" t="str">
        <x:v>PDF p3</x:v>
      </x:c>
    </x:row>
    <x:row r="24">
      <x:c r="A24" s="33" t="str">
        <x:v>税前利润</x:v>
      </x:c>
      <x:c r="B24" s="34" t="n">
        <x:v>1014416</x:v>
      </x:c>
      <x:c r="C24" s="34" t="n">
        <x:v>855770</x:v>
      </x:c>
      <x:c r="D24" s="34" t="n">
        <x:f>IF(OR(B24="",C24=""),"",B24-C24)</x:f>
        <x:v>158646</x:v>
      </x:c>
      <x:c r="E24" s="35" t="n">
        <x:f>IFERROR(B24/C24-1,"")</x:f>
        <x:v>0.18538392325040598</x:v>
      </x:c>
      <x:c r="F24" s="39" t="str">
        <x:v>PDF p3</x:v>
      </x:c>
    </x:row>
    <x:row r="25">
      <x:c r="A25" t="str">
        <x:v>所得税</x:v>
      </x:c>
      <x:c r="B25" s="19" t="n">
        <x:v>-290800</x:v>
      </x:c>
      <x:c r="C25" s="19" t="n">
        <x:v>-226942</x:v>
      </x:c>
      <x:c r="D25" s="19" t="n">
        <x:f>IF(OR(B25="",C25=""),"",B25-C25)</x:f>
        <x:v>-63858</x:v>
      </x:c>
      <x:c r="E25" s="20" t="n">
        <x:f>IFERROR(B25/C25-1,"")</x:f>
        <x:v>0.2813846709732002</x:v>
      </x:c>
      <x:c r="F25" s="38" t="str">
        <x:v>PDF p3</x:v>
      </x:c>
    </x:row>
    <x:row r="26">
      <x:c r="A26" s="33" t="str">
        <x:v>期内利润</x:v>
      </x:c>
      <x:c r="B26" s="34" t="n">
        <x:v>723616</x:v>
      </x:c>
      <x:c r="C26" s="34" t="n">
        <x:v>628828</x:v>
      </x:c>
      <x:c r="D26" s="34" t="n">
        <x:f>IF(OR(B26="",C26=""),"",B26-C26)</x:f>
        <x:v>94788</x:v>
      </x:c>
      <x:c r="E26" s="35" t="n">
        <x:f>IFERROR(B26/C26-1,"")</x:f>
        <x:v>0.15073756257673</x:v>
      </x:c>
      <x:c r="F26" s="39" t="str">
        <x:v>PDF p3</x:v>
      </x:c>
    </x:row>
    <x:row r="27">
      <x:c r="A27" t="str">
        <x:v>本公司权益股东应占</x:v>
      </x:c>
      <x:c r="B27" s="19" t="n">
        <x:v>706277</x:v>
      </x:c>
      <x:c r="C27" s="19" t="n">
        <x:v>612848</x:v>
      </x:c>
      <x:c r="D27" s="19" t="n">
        <x:f>IF(OR(B27="",C27=""),"",B27-C27)</x:f>
        <x:v>93429</x:v>
      </x:c>
      <x:c r="E27" s="20" t="n">
        <x:f>IFERROR(B27/C27-1,"")</x:f>
        <x:v>0.1524505260684541</x:v>
      </x:c>
      <x:c r="F27" s="38" t="str">
        <x:v>PDF p3</x:v>
      </x:c>
    </x:row>
    <x:row r="28">
      <x:c r="A28" t="str">
        <x:v>非控股权益应占</x:v>
      </x:c>
      <x:c r="B28" s="19" t="n">
        <x:v>17339</x:v>
      </x:c>
      <x:c r="C28" s="19" t="n">
        <x:v>15980</x:v>
      </x:c>
      <x:c r="D28" s="19" t="n">
        <x:f>IF(OR(B28="",C28=""),"",B28-C28)</x:f>
        <x:v>1359</x:v>
      </x:c>
      <x:c r="E28" s="20" t="n">
        <x:f>IFERROR(B28/C28-1,"")</x:f>
        <x:v>0.08504380475594497</x:v>
      </x:c>
      <x:c r="F28" s="38" t="str">
        <x:v>PDF p3</x:v>
      </x:c>
    </x:row>
    <x:row r="29">
      <x:c r="A29" s="33" t="str">
        <x:v>归属合计</x:v>
      </x:c>
      <x:c r="B29" s="34" t="n">
        <x:v>723616</x:v>
      </x:c>
      <x:c r="C29" s="34" t="n">
        <x:v>628828</x:v>
      </x:c>
      <x:c r="D29" s="34" t="n">
        <x:f>IF(OR(B29="",C29=""),"",B29-C29)</x:f>
        <x:v>94788</x:v>
      </x:c>
      <x:c r="E29" s="35" t="n">
        <x:f>IFERROR(B29/C29-1,"")</x:f>
        <x:v>0.15073756257673</x:v>
      </x:c>
      <x:c r="F29" s="39" t="str">
        <x:v>PDF p3</x:v>
      </x:c>
    </x:row>
    <x:row r="30">
      <x:c r="A30" t="str">
        <x:v>每股基本盈利（人民币元）</x:v>
      </x:c>
      <x:c r="B30" s="21" t="n">
        <x:v>0.225</x:v>
      </x:c>
      <x:c r="C30" s="21" t="n">
        <x:v>0.195</x:v>
      </x:c>
      <x:c r="D30" s="21" t="n">
        <x:f>IF(OR(B30="",C30=""),"",B30-C30)</x:f>
        <x:v>0.03</x:v>
      </x:c>
      <x:c r="E30" s="21" t="n">
        <x:f>IFERROR(B30/C30-1,"")</x:f>
        <x:v>0.15384615384615374</x:v>
      </x:c>
      <x:c r="F30" s="38" t="str">
        <x:v>PDF p4</x:v>
      </x:c>
    </x:row>
    <x:row r="31">
      <x:c r="A31" t="str">
        <x:v>每股摊薄盈利（人民币元）</x:v>
      </x:c>
      <x:c r="B31" s="21" t="n">
        <x:v>0.225</x:v>
      </x:c>
      <x:c r="C31" s="21" t="n">
        <x:v>0.195</x:v>
      </x:c>
      <x:c r="D31" s="21" t="n">
        <x:f>IF(OR(B31="",C31=""),"",B31-C31)</x:f>
        <x:v>0.03</x:v>
      </x:c>
      <x:c r="E31" s="21" t="n">
        <x:f>IFERROR(B31/C31-1,"")</x:f>
        <x:v>0.15384615384615374</x:v>
      </x:c>
      <x:c r="F31" s="38" t="str">
        <x:v>PDF p4</x:v>
      </x:c>
    </x:row>
    <x:row r="32">
      <x:c r="A32" t="str"/>
      <x:c r="B32" s="19"/>
      <x:c r="C32" s="19"/>
      <x:c r="D32" s="19" t="str">
        <x:f>IF(OR(B32="",C32=""),"",B32-C32)</x:f>
      </x:c>
      <x:c r="E32" s="20" t="str">
        <x:f>IFERROR(B32/C32-1,"")</x:f>
      </x:c>
      <x:c r="F32" s="38" t="str"/>
    </x:row>
    <x:row r="33">
      <x:c r="A33" s="33" t="str">
        <x:v>核心经营利润（非HKFRS）</x:v>
      </x:c>
      <x:c r="B33" s="34" t="n">
        <x:f>B9+B12+B13</x:f>
        <x:v>1249041</x:v>
      </x:c>
      <x:c r="C33" s="34" t="n">
        <x:f>C9+C12+C13</x:f>
        <x:v>1073776</x:v>
      </x:c>
      <x:c r="D33" s="34" t="n">
        <x:f>IF(OR(B33="",C33=""),"",B33-C33)</x:f>
        <x:v>175265</x:v>
      </x:c>
      <x:c r="E33" s="35" t="n">
        <x:f>IFERROR(B33/C33-1,"")</x:f>
        <x:v>0.163223055832874</x:v>
      </x:c>
      <x:c r="F33" s="39" t="str">
        <x:v>PDF p2</x:v>
      </x:c>
    </x:row>
    <x:row r="34">
      <x:c r="A34" t="str">
        <x:v>核心经营利润率</x:v>
      </x:c>
      <x:c r="B34" s="20" t="n">
        <x:f>B33/B7</x:f>
        <x:v>0.12653826577958385</x:v>
      </x:c>
      <x:c r="C34" s="20" t="n">
        <x:f>C33/C7</x:f>
        <x:v>0.11560010856188765</x:v>
      </x:c>
      <x:c r="D34" s="20" t="n">
        <x:f>IF(OR(B34="",C34=""),"",B34-C34)</x:f>
        <x:v>0.010938157217696198</x:v>
      </x:c>
      <x:c r="E34" s="20" t="n">
        <x:f>IFERROR(B34/C34-1,"")</x:f>
        <x:v>0.09462064831747408</x:v>
      </x:c>
      <x:c r="F34" s="38" t="str">
        <x:v>计算</x:v>
      </x:c>
    </x:row>
    <x:row r="35">
      <x:c r="A35" t="str">
        <x:v>FVOCI金融投资公平值储备净变动</x:v>
      </x:c>
      <x:c r="B35" s="19" t="n">
        <x:v>0</x:v>
      </x:c>
      <x:c r="C35" s="19" t="n">
        <x:v>-36</x:v>
      </x:c>
      <x:c r="D35" s="19" t="str">
        <x:f>IF(OR(B35="",C35=""),"",B35-C35)</x:f>
      </x:c>
      <x:c r="E35" s="20" t="n">
        <x:f>IFERROR(B35/C35-1,"")</x:f>
        <x:v>-1</x:v>
      </x:c>
      <x:c r="F35" s="38" t="str">
        <x:v>PDF p4</x:v>
      </x:c>
    </x:row>
    <x:row r="36">
      <x:c r="A36" t="str">
        <x:v>换算境外主体财务报表汇兑差额</x:v>
      </x:c>
      <x:c r="B36" s="19" t="n">
        <x:v>-39026</x:v>
      </x:c>
      <x:c r="C36" s="19" t="n">
        <x:v>-86570</x:v>
      </x:c>
      <x:c r="D36" s="19" t="n">
        <x:f>IF(OR(B36="",C36=""),"",B36-C36)</x:f>
        <x:v>47544</x:v>
      </x:c>
      <x:c r="E36" s="20" t="n">
        <x:f>IFERROR(B36/C36-1,"")</x:f>
        <x:v>-0.5491971814716414</x:v>
      </x:c>
      <x:c r="F36" s="38" t="str">
        <x:v>PDF p4</x:v>
      </x:c>
    </x:row>
    <x:row r="37">
      <x:c r="A37" s="33" t="str">
        <x:v>期内其他全面收益</x:v>
      </x:c>
      <x:c r="B37" s="34" t="n">
        <x:f>B35+B36</x:f>
        <x:v>-39026</x:v>
      </x:c>
      <x:c r="C37" s="34" t="n">
        <x:f>C35+C36</x:f>
        <x:v>-86606</x:v>
      </x:c>
      <x:c r="D37" s="34" t="n">
        <x:f>IF(OR(B37="",C37=""),"",B37-C37)</x:f>
        <x:v>47580</x:v>
      </x:c>
      <x:c r="E37" s="35" t="n">
        <x:f>IFERROR(B37/C37-1,"")</x:f>
        <x:v>-0.5493845691984389</x:v>
      </x:c>
      <x:c r="F37" s="39" t="str">
        <x:v>计算</x:v>
      </x:c>
    </x:row>
    <x:row r="38">
      <x:c r="A38" s="33" t="str">
        <x:v>期内全面总收入</x:v>
      </x:c>
      <x:c r="B38" s="34" t="n">
        <x:f>B26+B37</x:f>
        <x:v>684590</x:v>
      </x:c>
      <x:c r="C38" s="34" t="n">
        <x:f>C26+C37</x:f>
        <x:v>542222</x:v>
      </x:c>
      <x:c r="D38" s="34" t="n">
        <x:f>IF(OR(B38="",C38=""),"",B38-C38)</x:f>
        <x:v>142368</x:v>
      </x:c>
      <x:c r="E38" s="35" t="n">
        <x:f>IFERROR(B38/C38-1,"")</x:f>
        <x:v>0.2625640420344435</x:v>
      </x:c>
      <x:c r="F38" s="39" t="str">
        <x:v>计算</x:v>
      </x:c>
    </x:row>
    <x:row r="39">
      <x:c r="A39" t="str">
        <x:v>全面收益：本公司权益股东应占</x:v>
      </x:c>
      <x:c r="B39" s="19" t="n">
        <x:v>667251</x:v>
      </x:c>
      <x:c r="C39" s="19" t="n">
        <x:v>526242</x:v>
      </x:c>
      <x:c r="D39" s="19" t="n">
        <x:f>IF(OR(B39="",C39=""),"",B39-C39)</x:f>
        <x:v>141009</x:v>
      </x:c>
      <x:c r="E39" s="20" t="n">
        <x:f>IFERROR(B39/C39-1,"")</x:f>
        <x:v>0.2679546672443476</x:v>
      </x:c>
      <x:c r="F39" s="38" t="str">
        <x:v>PDF p4</x:v>
      </x:c>
    </x:row>
    <x:row r="40">
      <x:c r="A40" t="str">
        <x:v>全面收益：非控股权益应占</x:v>
      </x:c>
      <x:c r="B40" s="19" t="n">
        <x:v>17339</x:v>
      </x:c>
      <x:c r="C40" s="19" t="n">
        <x:v>15980</x:v>
      </x:c>
      <x:c r="D40" s="19" t="n">
        <x:f>IF(OR(B40="",C40=""),"",B40-C40)</x:f>
        <x:v>1359</x:v>
      </x:c>
      <x:c r="E40" s="20" t="n">
        <x:f>IFERROR(B40/C40-1,"")</x:f>
        <x:v>0.08504380475594497</x:v>
      </x:c>
      <x:c r="F40" s="38" t="str">
        <x:v>PDF p4</x:v>
      </x:c>
    </x:row>
    <x:row r="41">
      <x:c r="A41" s="33" t="str">
        <x:v>全面收益归属合计</x:v>
      </x:c>
      <x:c r="B41" s="34" t="n">
        <x:v>684590</x:v>
      </x:c>
      <x:c r="C41" s="34" t="n">
        <x:v>542222</x:v>
      </x:c>
      <x:c r="D41" s="34" t="n">
        <x:f>IF(OR(B41="",C41=""),"",B41-C41)</x:f>
        <x:v>142368</x:v>
      </x:c>
      <x:c r="E41" s="35" t="n">
        <x:f>IFERROR(B41/C41-1,"")</x:f>
        <x:v>0.2625640420344435</x:v>
      </x:c>
      <x:c r="F41" s="39" t="str">
        <x:v>PDF p4</x:v>
      </x:c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9bf0246d7eb04ad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综合财务状况表</x:v>
      </x:c>
      <x:c r="B1" s="3" t="str">
        <x:v>综合财务状况表</x:v>
      </x:c>
      <x:c r="C1" s="3" t="str">
        <x:v>综合财务状况表</x:v>
      </x:c>
      <x:c r="D1" s="3" t="str">
        <x:v>综合财务状况表</x:v>
      </x:c>
      <x:c r="E1" s="3" t="str">
        <x:v>综合财务状况表</x:v>
      </x:c>
      <x:c r="F1" s="3" t="str">
        <x:v>综合财务状况表</x:v>
      </x:c>
    </x:row>
    <x:row r="2" ht="26" customHeight="1">
      <x:c r="A2" s="6" t="str">
        <x:v>2026年6月30日（未经审核）对2025年12月31日 | 人民币千元</x:v>
      </x:c>
      <x:c r="B2" s="6" t="str">
        <x:v>2026年6月30日（未经审核）对2025年12月31日 | 人民币千元</x:v>
      </x:c>
      <x:c r="C2" s="6" t="str">
        <x:v>2026年6月30日（未经审核）对2025年12月31日 | 人民币千元</x:v>
      </x:c>
      <x:c r="D2" s="6" t="str">
        <x:v>2026年6月30日（未经审核）对2025年12月31日 | 人民币千元</x:v>
      </x:c>
      <x:c r="E2" s="6" t="str">
        <x:v>2026年6月30日（未经审核）对2025年12月31日 | 人民币千元</x:v>
      </x:c>
      <x:c r="F2" s="6" t="str">
        <x:v>2026年6月30日（未经审核）对2025年12月31日 | 人民币千元</x:v>
      </x:c>
    </x:row>
    <x:row r="5" ht="28" customHeight="1">
      <x:c r="A5" s="18" t="str">
        <x:v>项目</x:v>
      </x:c>
      <x:c r="B5" s="18" t="str">
        <x:v>2026-06-30</x:v>
      </x:c>
      <x:c r="C5" s="18" t="str">
        <x:v>2025-12-31</x:v>
      </x:c>
      <x:c r="D5" s="18" t="str">
        <x:v>变动额</x:v>
      </x:c>
      <x:c r="E5" s="18" t="str">
        <x:v>变动率</x:v>
      </x:c>
      <x:c r="F5" s="18" t="str">
        <x:v>来源</x:v>
      </x:c>
    </x:row>
    <x:row r="7">
      <x:c r="A7" s="42" t="str">
        <x:v>非流动资产</x:v>
      </x:c>
      <x:c r="B7" s="43"/>
      <x:c r="C7" s="43"/>
      <x:c r="D7" s="43" t="str">
        <x:f>IF(OR(B7="",C7=""),"",B7-C7)</x:f>
      </x:c>
      <x:c r="E7" s="44" t="str">
        <x:f>IFERROR(B7/C7-1,"")</x:f>
      </x:c>
      <x:c r="F7" s="46" t="str"/>
    </x:row>
    <x:row r="8">
      <x:c r="A8" t="str">
        <x:v>投资物业</x:v>
      </x:c>
      <x:c r="B8" s="19" t="n">
        <x:v>119376</x:v>
      </x:c>
      <x:c r="C8" s="19" t="n">
        <x:v>267327</x:v>
      </x:c>
      <x:c r="D8" s="19" t="n">
        <x:f>IF(OR(B8="",C8=""),"",B8-C8)</x:f>
        <x:v>-147951</x:v>
      </x:c>
      <x:c r="E8" s="20" t="n">
        <x:f>IFERROR(B8/C8-1,"")</x:f>
        <x:v>-0.5534457798875534</x:v>
      </x:c>
      <x:c r="F8" s="38" t="str">
        <x:v>PDF p5</x:v>
      </x:c>
    </x:row>
    <x:row r="9">
      <x:c r="A9" t="str">
        <x:v>物业、厂房及设备</x:v>
      </x:c>
      <x:c r="B9" s="19" t="n">
        <x:v>494704</x:v>
      </x:c>
      <x:c r="C9" s="19" t="n">
        <x:v>524840</x:v>
      </x:c>
      <x:c r="D9" s="19" t="n">
        <x:f>IF(OR(B9="",C9=""),"",B9-C9)</x:f>
        <x:v>-30136</x:v>
      </x:c>
      <x:c r="E9" s="20" t="n">
        <x:f>IFERROR(B9/C9-1,"")</x:f>
        <x:v>-0.057419404008840824</x:v>
      </x:c>
      <x:c r="F9" s="38" t="str">
        <x:v>PDF p5</x:v>
      </x:c>
    </x:row>
    <x:row r="10">
      <x:c r="A10" t="str">
        <x:v>使用权资产</x:v>
      </x:c>
      <x:c r="B10" s="19" t="n">
        <x:v>160545</x:v>
      </x:c>
      <x:c r="C10" s="19" t="n">
        <x:v>177805</x:v>
      </x:c>
      <x:c r="D10" s="19" t="n">
        <x:f>IF(OR(B10="",C10=""),"",B10-C10)</x:f>
        <x:v>-17260</x:v>
      </x:c>
      <x:c r="E10" s="20" t="n">
        <x:f>IFERROR(B10/C10-1,"")</x:f>
        <x:v>-0.09707263575265035</x:v>
      </x:c>
      <x:c r="F10" s="38" t="str">
        <x:v>PDF p5</x:v>
      </x:c>
    </x:row>
    <x:row r="11">
      <x:c r="A11" t="str">
        <x:v>无形资产</x:v>
      </x:c>
      <x:c r="B11" s="19" t="n">
        <x:v>342636</x:v>
      </x:c>
      <x:c r="C11" s="19" t="n">
        <x:v>370084</x:v>
      </x:c>
      <x:c r="D11" s="19" t="n">
        <x:f>IF(OR(B11="",C11=""),"",B11-C11)</x:f>
        <x:v>-27448</x:v>
      </x:c>
      <x:c r="E11" s="20" t="n">
        <x:f>IFERROR(B11/C11-1,"")</x:f>
        <x:v>-0.07416694588255635</x:v>
      </x:c>
      <x:c r="F11" s="38" t="str">
        <x:v>PDF p5</x:v>
      </x:c>
    </x:row>
    <x:row r="12">
      <x:c r="A12" t="str">
        <x:v>商誉</x:v>
      </x:c>
      <x:c r="B12" s="19" t="n">
        <x:v>338568</x:v>
      </x:c>
      <x:c r="C12" s="19" t="n">
        <x:v>382958</x:v>
      </x:c>
      <x:c r="D12" s="19" t="n">
        <x:f>IF(OR(B12="",C12=""),"",B12-C12)</x:f>
        <x:v>-44390</x:v>
      </x:c>
      <x:c r="E12" s="20" t="n">
        <x:f>IFERROR(B12/C12-1,"")</x:f>
        <x:v>-0.1159134944301986</x:v>
      </x:c>
      <x:c r="F12" s="38" t="str">
        <x:v>PDF p5</x:v>
      </x:c>
    </x:row>
    <x:row r="13">
      <x:c r="A13" t="str">
        <x:v>联营公司权益</x:v>
      </x:c>
      <x:c r="B13" s="19" t="n">
        <x:v>639479</x:v>
      </x:c>
      <x:c r="C13" s="19" t="n">
        <x:v>651776</x:v>
      </x:c>
      <x:c r="D13" s="19" t="n">
        <x:f>IF(OR(B13="",C13=""),"",B13-C13)</x:f>
        <x:v>-12297</x:v>
      </x:c>
      <x:c r="E13" s="20" t="n">
        <x:f>IFERROR(B13/C13-1,"")</x:f>
        <x:v>-0.018866911331500424</x:v>
      </x:c>
      <x:c r="F13" s="38" t="str">
        <x:v>PDF p5</x:v>
      </x:c>
    </x:row>
    <x:row r="14">
      <x:c r="A14" t="str">
        <x:v>合营公司权益</x:v>
      </x:c>
      <x:c r="B14" s="19" t="n">
        <x:v>450754</x:v>
      </x:c>
      <x:c r="C14" s="19" t="n">
        <x:v>443740</x:v>
      </x:c>
      <x:c r="D14" s="19" t="n">
        <x:f>IF(OR(B14="",C14=""),"",B14-C14)</x:f>
        <x:v>7014</x:v>
      </x:c>
      <x:c r="E14" s="20" t="n">
        <x:f>IFERROR(B14/C14-1,"")</x:f>
        <x:v>0.01580655338711856</x:v>
      </x:c>
      <x:c r="F14" s="38" t="str">
        <x:v>PDF p5</x:v>
      </x:c>
    </x:row>
    <x:row r="15">
      <x:c r="A15" t="str">
        <x:v>其他金融资产（非流动）</x:v>
      </x:c>
      <x:c r="B15" s="19" t="n">
        <x:v>79011</x:v>
      </x:c>
      <x:c r="C15" s="19" t="n">
        <x:v>66939</x:v>
      </x:c>
      <x:c r="D15" s="19" t="n">
        <x:f>IF(OR(B15="",C15=""),"",B15-C15)</x:f>
        <x:v>12072</x:v>
      </x:c>
      <x:c r="E15" s="20" t="n">
        <x:f>IFERROR(B15/C15-1,"")</x:f>
        <x:v>0.18034329762918477</x:v>
      </x:c>
      <x:c r="F15" s="38" t="str">
        <x:v>PDF p5</x:v>
      </x:c>
    </x:row>
    <x:row r="16">
      <x:c r="A16" t="str">
        <x:v>其他非金融资产</x:v>
      </x:c>
      <x:c r="B16" s="19" t="n">
        <x:v>80243</x:v>
      </x:c>
      <x:c r="C16" s="19" t="n">
        <x:v>87822</x:v>
      </x:c>
      <x:c r="D16" s="19" t="n">
        <x:f>IF(OR(B16="",C16=""),"",B16-C16)</x:f>
        <x:v>-7579</x:v>
      </x:c>
      <x:c r="E16" s="20" t="n">
        <x:f>IFERROR(B16/C16-1,"")</x:f>
        <x:v>-0.0862995604745963</x:v>
      </x:c>
      <x:c r="F16" s="38" t="str">
        <x:v>PDF p5</x:v>
      </x:c>
    </x:row>
    <x:row r="17">
      <x:c r="A17" t="str">
        <x:v>递延税项资产</x:v>
      </x:c>
      <x:c r="B17" s="19" t="n">
        <x:v>654565</x:v>
      </x:c>
      <x:c r="C17" s="19" t="n">
        <x:v>622434</x:v>
      </x:c>
      <x:c r="D17" s="19" t="n">
        <x:f>IF(OR(B17="",C17=""),"",B17-C17)</x:f>
        <x:v>32131</x:v>
      </x:c>
      <x:c r="E17" s="20" t="n">
        <x:f>IFERROR(B17/C17-1,"")</x:f>
        <x:v>0.05162153738388331</x:v>
      </x:c>
      <x:c r="F17" s="38" t="str">
        <x:v>PDF p5</x:v>
      </x:c>
    </x:row>
    <x:row r="18">
      <x:c r="A18" t="str">
        <x:v>预付款项（非流动）</x:v>
      </x:c>
      <x:c r="B18" s="19" t="n">
        <x:v>6169</x:v>
      </x:c>
      <x:c r="C18" s="19" t="n">
        <x:v>6817</x:v>
      </x:c>
      <x:c r="D18" s="19" t="n">
        <x:f>IF(OR(B18="",C18=""),"",B18-C18)</x:f>
        <x:v>-648</x:v>
      </x:c>
      <x:c r="E18" s="20" t="n">
        <x:f>IFERROR(B18/C18-1,"")</x:f>
        <x:v>-0.09505647645591908</x:v>
      </x:c>
      <x:c r="F18" s="38" t="str">
        <x:v>PDF p5</x:v>
      </x:c>
    </x:row>
    <x:row r="19">
      <x:c r="A19" t="str">
        <x:v>定期存款（非流动）</x:v>
      </x:c>
      <x:c r="B19" s="19" t="n">
        <x:v>1128787</x:v>
      </x:c>
      <x:c r="C19" s="19" t="n">
        <x:v>1632944</x:v>
      </x:c>
      <x:c r="D19" s="19" t="n">
        <x:f>IF(OR(B19="",C19=""),"",B19-C19)</x:f>
        <x:v>-504157</x:v>
      </x:c>
      <x:c r="E19" s="20" t="n">
        <x:f>IFERROR(B19/C19-1,"")</x:f>
        <x:v>-0.30874114482799164</x:v>
      </x:c>
      <x:c r="F19" s="38" t="str">
        <x:v>PDF p5</x:v>
      </x:c>
    </x:row>
    <x:row r="20">
      <x:c r="A20" s="33" t="str">
        <x:v>非流动资产总额</x:v>
      </x:c>
      <x:c r="B20" s="34" t="n">
        <x:v>4494837</x:v>
      </x:c>
      <x:c r="C20" s="34" t="n">
        <x:v>5235486</x:v>
      </x:c>
      <x:c r="D20" s="34" t="n">
        <x:f>IF(OR(B20="",C20=""),"",B20-C20)</x:f>
        <x:v>-740649</x:v>
      </x:c>
      <x:c r="E20" s="35" t="n">
        <x:f>IFERROR(B20/C20-1,"")</x:f>
        <x:v>-0.1414670958913843</x:v>
      </x:c>
      <x:c r="F20" s="39" t="str">
        <x:v>PDF p5</x:v>
      </x:c>
    </x:row>
    <x:row r="21">
      <x:c r="A21" s="42" t="str">
        <x:v>流动资产</x:v>
      </x:c>
      <x:c r="B21" s="43"/>
      <x:c r="C21" s="43"/>
      <x:c r="D21" s="43" t="str">
        <x:f>IF(OR(B21="",C21=""),"",B21-C21)</x:f>
      </x:c>
      <x:c r="E21" s="44" t="str">
        <x:f>IFERROR(B21/C21-1,"")</x:f>
      </x:c>
      <x:c r="F21" s="46" t="str"/>
    </x:row>
    <x:row r="22">
      <x:c r="A22" t="str">
        <x:v>其他金融资产（流动）</x:v>
      </x:c>
      <x:c r="B22" s="19" t="n">
        <x:v>519309</x:v>
      </x:c>
      <x:c r="C22" s="19" t="n">
        <x:v>490474</x:v>
      </x:c>
      <x:c r="D22" s="19" t="n">
        <x:f>IF(OR(B22="",C22=""),"",B22-C22)</x:f>
        <x:v>28835</x:v>
      </x:c>
      <x:c r="E22" s="20" t="n">
        <x:f>IFERROR(B22/C22-1,"")</x:f>
        <x:v>0.05879006838282974</x:v>
      </x:c>
      <x:c r="F22" s="38" t="str">
        <x:v>PDF p5</x:v>
      </x:c>
    </x:row>
    <x:row r="23">
      <x:c r="A23" t="str">
        <x:v>存货</x:v>
      </x:c>
      <x:c r="B23" s="19" t="n">
        <x:v>519913</x:v>
      </x:c>
      <x:c r="C23" s="19" t="n">
        <x:v>525389</x:v>
      </x:c>
      <x:c r="D23" s="19" t="n">
        <x:f>IF(OR(B23="",C23=""),"",B23-C23)</x:f>
        <x:v>-5476</x:v>
      </x:c>
      <x:c r="E23" s="20" t="n">
        <x:f>IFERROR(B23/C23-1,"")</x:f>
        <x:v>-0.01042275342650878</x:v>
      </x:c>
      <x:c r="F23" s="38" t="str">
        <x:v>PDF p5</x:v>
      </x:c>
    </x:row>
    <x:row r="24">
      <x:c r="A24" t="str">
        <x:v>贸易及其他应收款</x:v>
      </x:c>
      <x:c r="B24" s="19" t="n">
        <x:v>7440049</x:v>
      </x:c>
      <x:c r="C24" s="19" t="n">
        <x:v>5893207</x:v>
      </x:c>
      <x:c r="D24" s="19" t="n">
        <x:f>IF(OR(B24="",C24=""),"",B24-C24)</x:f>
        <x:v>1546842</x:v>
      </x:c>
      <x:c r="E24" s="20" t="n">
        <x:f>IFERROR(B24/C24-1,"")</x:f>
        <x:v>0.26247881671219075</x:v>
      </x:c>
      <x:c r="F24" s="38" t="str">
        <x:v>PDF p5</x:v>
      </x:c>
    </x:row>
    <x:row r="25">
      <x:c r="A25" t="str">
        <x:v>预付款项（流动）</x:v>
      </x:c>
      <x:c r="B25" s="19" t="n">
        <x:v>163712</x:v>
      </x:c>
      <x:c r="C25" s="19" t="n">
        <x:v>212182</x:v>
      </x:c>
      <x:c r="D25" s="19" t="n">
        <x:f>IF(OR(B25="",C25=""),"",B25-C25)</x:f>
        <x:v>-48470</x:v>
      </x:c>
      <x:c r="E25" s="20" t="n">
        <x:f>IFERROR(B25/C25-1,"")</x:f>
        <x:v>-0.22843596535050104</x:v>
      </x:c>
      <x:c r="F25" s="38" t="str">
        <x:v>PDF p5</x:v>
      </x:c>
    </x:row>
    <x:row r="26">
      <x:c r="A26" t="str">
        <x:v>受限制银行结余</x:v>
      </x:c>
      <x:c r="B26" s="19" t="n">
        <x:v>519003</x:v>
      </x:c>
      <x:c r="C26" s="19" t="n">
        <x:v>586629</x:v>
      </x:c>
      <x:c r="D26" s="19" t="n">
        <x:f>IF(OR(B26="",C26=""),"",B26-C26)</x:f>
        <x:v>-67626</x:v>
      </x:c>
      <x:c r="E26" s="20" t="n">
        <x:f>IFERROR(B26/C26-1,"")</x:f>
        <x:v>-0.11527899234439487</x:v>
      </x:c>
      <x:c r="F26" s="38" t="str">
        <x:v>PDF p5</x:v>
      </x:c>
    </x:row>
    <x:row r="27">
      <x:c r="A27" t="str">
        <x:v>定期存款（流动）</x:v>
      </x:c>
      <x:c r="B27" s="19" t="n">
        <x:v>484453</x:v>
      </x:c>
      <x:c r="C27" s="19" t="n">
        <x:v>53655</x:v>
      </x:c>
      <x:c r="D27" s="19" t="n">
        <x:f>IF(OR(B27="",C27=""),"",B27-C27)</x:f>
        <x:v>430798</x:v>
      </x:c>
      <x:c r="E27" s="20" t="n">
        <x:f>IFERROR(B27/C27-1,"")</x:f>
        <x:v>8.029037368372006</x:v>
      </x:c>
      <x:c r="F27" s="38" t="str">
        <x:v>PDF p5</x:v>
      </x:c>
    </x:row>
    <x:row r="28">
      <x:c r="A28" t="str">
        <x:v>现金及现金等价物</x:v>
      </x:c>
      <x:c r="B28" s="19" t="n">
        <x:v>4779825</x:v>
      </x:c>
      <x:c r="C28" s="19" t="n">
        <x:v>5319928</x:v>
      </x:c>
      <x:c r="D28" s="19" t="n">
        <x:f>IF(OR(B28="",C28=""),"",B28-C28)</x:f>
        <x:v>-540103</x:v>
      </x:c>
      <x:c r="E28" s="20" t="n">
        <x:f>IFERROR(B28/C28-1,"")</x:f>
        <x:v>-0.10152449431646449</x:v>
      </x:c>
      <x:c r="F28" s="38" t="str">
        <x:v>PDF p5</x:v>
      </x:c>
    </x:row>
    <x:row r="29">
      <x:c r="A29" s="33" t="str">
        <x:v>流动资产总额</x:v>
      </x:c>
      <x:c r="B29" s="34" t="n">
        <x:v>14426264</x:v>
      </x:c>
      <x:c r="C29" s="34" t="n">
        <x:v>13081464</x:v>
      </x:c>
      <x:c r="D29" s="34" t="n">
        <x:f>IF(OR(B29="",C29=""),"",B29-C29)</x:f>
        <x:v>1344800</x:v>
      </x:c>
      <x:c r="E29" s="35" t="n">
        <x:f>IFERROR(B29/C29-1,"")</x:f>
        <x:v>0.10280194938425846</x:v>
      </x:c>
      <x:c r="F29" s="39" t="str">
        <x:v>PDF p5</x:v>
      </x:c>
    </x:row>
    <x:row r="30">
      <x:c r="A30" s="33" t="str">
        <x:v>资产总额（计算）</x:v>
      </x:c>
      <x:c r="B30" s="34" t="n">
        <x:f>B20+B29</x:f>
        <x:v>18921101</x:v>
      </x:c>
      <x:c r="C30" s="34" t="n">
        <x:f>C20+C29</x:f>
        <x:v>18316950</x:v>
      </x:c>
      <x:c r="D30" s="34" t="n">
        <x:f>IF(OR(B30="",C30=""),"",B30-C30)</x:f>
        <x:v>604151</x:v>
      </x:c>
      <x:c r="E30" s="35" t="n">
        <x:f>IFERROR(B30/C30-1,"")</x:f>
        <x:v>0.03298316586549621</x:v>
      </x:c>
      <x:c r="F30" s="39" t="str">
        <x:v>计算</x:v>
      </x:c>
    </x:row>
    <x:row r="31">
      <x:c r="A31" s="42" t="str">
        <x:v>流动负债</x:v>
      </x:c>
      <x:c r="B31" s="43"/>
      <x:c r="C31" s="43"/>
      <x:c r="D31" s="43" t="str">
        <x:f>IF(OR(B31="",C31=""),"",B31-C31)</x:f>
      </x:c>
      <x:c r="E31" s="44" t="str">
        <x:f>IFERROR(B31/C31-1,"")</x:f>
      </x:c>
      <x:c r="F31" s="46" t="str"/>
    </x:row>
    <x:row r="32">
      <x:c r="A32" t="str">
        <x:v>银行贷款（流动）</x:v>
      </x:c>
      <x:c r="B32" s="19" t="n">
        <x:v>27124</x:v>
      </x:c>
      <x:c r="C32" s="19" t="n">
        <x:v>34587</x:v>
      </x:c>
      <x:c r="D32" s="19" t="n">
        <x:f>IF(OR(B32="",C32=""),"",B32-C32)</x:f>
        <x:v>-7463</x:v>
      </x:c>
      <x:c r="E32" s="20" t="n">
        <x:f>IFERROR(B32/C32-1,"")</x:f>
        <x:v>-0.21577471304247264</x:v>
      </x:c>
      <x:c r="F32" s="38" t="str">
        <x:v>PDF p6</x:v>
      </x:c>
    </x:row>
    <x:row r="33">
      <x:c r="A33" t="str">
        <x:v>合约负债</x:v>
      </x:c>
      <x:c r="B33" s="19" t="n">
        <x:v>2576594</x:v>
      </x:c>
      <x:c r="C33" s="19" t="n">
        <x:v>2330048</x:v>
      </x:c>
      <x:c r="D33" s="19" t="n">
        <x:f>IF(OR(B33="",C33=""),"",B33-C33)</x:f>
        <x:v>246546</x:v>
      </x:c>
      <x:c r="E33" s="20" t="n">
        <x:f>IFERROR(B33/C33-1,"")</x:f>
        <x:v>0.1058115540967397</x:v>
      </x:c>
      <x:c r="F33" s="38" t="str">
        <x:v>PDF p6</x:v>
      </x:c>
    </x:row>
    <x:row r="34">
      <x:c r="A34" t="str">
        <x:v>贸易及其他应付款</x:v>
      </x:c>
      <x:c r="B34" s="19" t="n">
        <x:v>5954577</x:v>
      </x:c>
      <x:c r="C34" s="19" t="n">
        <x:v>5428149</x:v>
      </x:c>
      <x:c r="D34" s="19" t="n">
        <x:f>IF(OR(B34="",C34=""),"",B34-C34)</x:f>
        <x:v>526428</x:v>
      </x:c>
      <x:c r="E34" s="20" t="n">
        <x:f>IFERROR(B34/C34-1,"")</x:f>
        <x:v>0.09698112561022176</x:v>
      </x:c>
      <x:c r="F34" s="38" t="str">
        <x:v>PDF p6</x:v>
      </x:c>
    </x:row>
    <x:row r="35">
      <x:c r="A35" t="str">
        <x:v>租赁负债（流动）</x:v>
      </x:c>
      <x:c r="B35" s="19" t="n">
        <x:v>102061</x:v>
      </x:c>
      <x:c r="C35" s="19" t="n">
        <x:v>126740</x:v>
      </x:c>
      <x:c r="D35" s="19" t="n">
        <x:f>IF(OR(B35="",C35=""),"",B35-C35)</x:f>
        <x:v>-24679</x:v>
      </x:c>
      <x:c r="E35" s="20" t="n">
        <x:f>IFERROR(B35/C35-1,"")</x:f>
        <x:v>-0.19472147703960863</x:v>
      </x:c>
      <x:c r="F35" s="38" t="str">
        <x:v>PDF p6</x:v>
      </x:c>
    </x:row>
    <x:row r="36">
      <x:c r="A36" t="str">
        <x:v>即期税项</x:v>
      </x:c>
      <x:c r="B36" s="19" t="n">
        <x:v>1349588</x:v>
      </x:c>
      <x:c r="C36" s="19" t="n">
        <x:v>1275249</x:v>
      </x:c>
      <x:c r="D36" s="19" t="n">
        <x:f>IF(OR(B36="",C36=""),"",B36-C36)</x:f>
        <x:v>74339</x:v>
      </x:c>
      <x:c r="E36" s="20" t="n">
        <x:f>IFERROR(B36/C36-1,"")</x:f>
        <x:v>0.05829371361985003</x:v>
      </x:c>
      <x:c r="F36" s="38" t="str">
        <x:v>PDF p6</x:v>
      </x:c>
    </x:row>
    <x:row r="37">
      <x:c r="A37" t="str">
        <x:v>拨备（流动）</x:v>
      </x:c>
      <x:c r="B37" s="19" t="n">
        <x:v>15696</x:v>
      </x:c>
      <x:c r="C37" s="19" t="n">
        <x:v>17908</x:v>
      </x:c>
      <x:c r="D37" s="19" t="n">
        <x:f>IF(OR(B37="",C37=""),"",B37-C37)</x:f>
        <x:v>-2212</x:v>
      </x:c>
      <x:c r="E37" s="20" t="n">
        <x:f>IFERROR(B37/C37-1,"")</x:f>
        <x:v>-0.12352021442930539</x:v>
      </x:c>
      <x:c r="F37" s="38" t="str">
        <x:v>PDF p6</x:v>
      </x:c>
    </x:row>
    <x:row r="38">
      <x:c r="A38" s="33" t="str">
        <x:v>流动负债总额</x:v>
      </x:c>
      <x:c r="B38" s="34" t="n">
        <x:v>10025640</x:v>
      </x:c>
      <x:c r="C38" s="34" t="n">
        <x:v>9212681</x:v>
      </x:c>
      <x:c r="D38" s="34" t="n">
        <x:f>IF(OR(B38="",C38=""),"",B38-C38)</x:f>
        <x:v>812959</x:v>
      </x:c>
      <x:c r="E38" s="35" t="n">
        <x:f>IFERROR(B38/C38-1,"")</x:f>
        <x:v>0.08824347657321474</x:v>
      </x:c>
      <x:c r="F38" s="39" t="str">
        <x:v>PDF p6</x:v>
      </x:c>
    </x:row>
    <x:row r="39">
      <x:c r="A39" s="33" t="str">
        <x:v>流动资产净额</x:v>
      </x:c>
      <x:c r="B39" s="34" t="n">
        <x:v>4400624</x:v>
      </x:c>
      <x:c r="C39" s="34" t="n">
        <x:v>3868783</x:v>
      </x:c>
      <x:c r="D39" s="34" t="n">
        <x:f>IF(OR(B39="",C39=""),"",B39-C39)</x:f>
        <x:v>531841</x:v>
      </x:c>
      <x:c r="E39" s="35" t="n">
        <x:f>IFERROR(B39/C39-1,"")</x:f>
        <x:v>0.13746984516836425</x:v>
      </x:c>
      <x:c r="F39" s="39" t="str">
        <x:v>PDF p6</x:v>
      </x:c>
    </x:row>
    <x:row r="40">
      <x:c r="A40" s="33" t="str">
        <x:v>总资产减流动负债</x:v>
      </x:c>
      <x:c r="B40" s="34" t="n">
        <x:v>8895461</x:v>
      </x:c>
      <x:c r="C40" s="34" t="n">
        <x:v>9104269</x:v>
      </x:c>
      <x:c r="D40" s="34" t="n">
        <x:f>IF(OR(B40="",C40=""),"",B40-C40)</x:f>
        <x:v>-208808</x:v>
      </x:c>
      <x:c r="E40" s="35" t="n">
        <x:f>IFERROR(B40/C40-1,"")</x:f>
        <x:v>-0.022935174696617544</x:v>
      </x:c>
      <x:c r="F40" s="39" t="str">
        <x:v>PDF p6</x:v>
      </x:c>
    </x:row>
    <x:row r="41">
      <x:c r="A41" s="42" t="str">
        <x:v>非流动负债</x:v>
      </x:c>
      <x:c r="B41" s="43"/>
      <x:c r="C41" s="43"/>
      <x:c r="D41" s="43" t="str">
        <x:f>IF(OR(B41="",C41=""),"",B41-C41)</x:f>
      </x:c>
      <x:c r="E41" s="44" t="str">
        <x:f>IFERROR(B41/C41-1,"")</x:f>
      </x:c>
      <x:c r="F41" s="46" t="str"/>
    </x:row>
    <x:row r="42">
      <x:c r="A42" t="str">
        <x:v>银行贷款（非流动）</x:v>
      </x:c>
      <x:c r="B42" s="19" t="n">
        <x:v>11624</x:v>
      </x:c>
      <x:c r="C42" s="19" t="n">
        <x:v>17669</x:v>
      </x:c>
      <x:c r="D42" s="19" t="n">
        <x:f>IF(OR(B42="",C42=""),"",B42-C42)</x:f>
        <x:v>-6045</x:v>
      </x:c>
      <x:c r="E42" s="20" t="n">
        <x:f>IFERROR(B42/C42-1,"")</x:f>
        <x:v>-0.3421246250495218</x:v>
      </x:c>
      <x:c r="F42" s="38" t="str">
        <x:v>PDF p6</x:v>
      </x:c>
    </x:row>
    <x:row r="43">
      <x:c r="A43" t="str">
        <x:v>租赁负债（非流动）</x:v>
      </x:c>
      <x:c r="B43" s="19" t="n">
        <x:v>121525</x:v>
      </x:c>
      <x:c r="C43" s="19" t="n">
        <x:v>307006</x:v>
      </x:c>
      <x:c r="D43" s="19" t="n">
        <x:f>IF(OR(B43="",C43=""),"",B43-C43)</x:f>
        <x:v>-185481</x:v>
      </x:c>
      <x:c r="E43" s="20" t="n">
        <x:f>IFERROR(B43/C43-1,"")</x:f>
        <x:v>-0.6041608307329498</x:v>
      </x:c>
      <x:c r="F43" s="38" t="str">
        <x:v>PDF p6</x:v>
      </x:c>
    </x:row>
    <x:row r="44">
      <x:c r="A44" t="str">
        <x:v>递延税项负债</x:v>
      </x:c>
      <x:c r="B44" s="19" t="n">
        <x:v>31326</x:v>
      </x:c>
      <x:c r="C44" s="19" t="n">
        <x:v>33686</x:v>
      </x:c>
      <x:c r="D44" s="19" t="n">
        <x:f>IF(OR(B44="",C44=""),"",B44-C44)</x:f>
        <x:v>-2360</x:v>
      </x:c>
      <x:c r="E44" s="20" t="n">
        <x:f>IFERROR(B44/C44-1,"")</x:f>
        <x:v>-0.07005877812741201</x:v>
      </x:c>
      <x:c r="F44" s="38" t="str">
        <x:v>PDF p6</x:v>
      </x:c>
    </x:row>
    <x:row r="45">
      <x:c r="A45" t="str">
        <x:v>拨备（非流动）</x:v>
      </x:c>
      <x:c r="B45" s="19" t="n">
        <x:v>21954</x:v>
      </x:c>
      <x:c r="C45" s="19" t="n">
        <x:v>27849</x:v>
      </x:c>
      <x:c r="D45" s="19" t="n">
        <x:f>IF(OR(B45="",C45=""),"",B45-C45)</x:f>
        <x:v>-5895</x:v>
      </x:c>
      <x:c r="E45" s="20" t="n">
        <x:f>IFERROR(B45/C45-1,"")</x:f>
        <x:v>-0.21167725950662497</x:v>
      </x:c>
      <x:c r="F45" s="38" t="str">
        <x:v>PDF p6</x:v>
      </x:c>
    </x:row>
    <x:row r="46">
      <x:c r="A46" s="33" t="str">
        <x:v>非流动负债总额</x:v>
      </x:c>
      <x:c r="B46" s="34" t="n">
        <x:v>186429</x:v>
      </x:c>
      <x:c r="C46" s="34" t="n">
        <x:v>386210</x:v>
      </x:c>
      <x:c r="D46" s="34" t="n">
        <x:f>IF(OR(B46="",C46=""),"",B46-C46)</x:f>
        <x:v>-199781</x:v>
      </x:c>
      <x:c r="E46" s="35" t="n">
        <x:f>IFERROR(B46/C46-1,"")</x:f>
        <x:v>-0.5172859325237564</x:v>
      </x:c>
      <x:c r="F46" s="39" t="str">
        <x:v>PDF p6</x:v>
      </x:c>
    </x:row>
    <x:row r="47">
      <x:c r="A47" s="33" t="str">
        <x:v>资产净额</x:v>
      </x:c>
      <x:c r="B47" s="34" t="n">
        <x:v>8709032</x:v>
      </x:c>
      <x:c r="C47" s="34" t="n">
        <x:v>8718059</x:v>
      </x:c>
      <x:c r="D47" s="34" t="n">
        <x:f>IF(OR(B47="",C47=""),"",B47-C47)</x:f>
        <x:v>-9027</x:v>
      </x:c>
      <x:c r="E47" s="35" t="n">
        <x:f>IFERROR(B47/C47-1,"")</x:f>
        <x:v>-0.0010354369017231413</x:v>
      </x:c>
      <x:c r="F47" s="39" t="str">
        <x:v>PDF p6</x:v>
      </x:c>
    </x:row>
    <x:row r="48">
      <x:c r="A48" s="42" t="str">
        <x:v>资本及储备</x:v>
      </x:c>
      <x:c r="B48" s="43"/>
      <x:c r="C48" s="43"/>
      <x:c r="D48" s="43" t="str">
        <x:f>IF(OR(B48="",C48=""),"",B48-C48)</x:f>
      </x:c>
      <x:c r="E48" s="44" t="str">
        <x:f>IFERROR(B48/C48-1,"")</x:f>
      </x:c>
      <x:c r="F48" s="46" t="str"/>
    </x:row>
    <x:row r="49">
      <x:c r="A49" t="str">
        <x:v>股本</x:v>
      </x:c>
      <x:c r="B49" s="19" t="n">
        <x:v>27</x:v>
      </x:c>
      <x:c r="C49" s="19" t="n">
        <x:v>27</x:v>
      </x:c>
      <x:c r="D49" s="19" t="n">
        <x:f>IF(OR(B49="",C49=""),"",B49-C49)</x:f>
        <x:v>0</x:v>
      </x:c>
      <x:c r="E49" s="20" t="n">
        <x:f>IFERROR(B49/C49-1,"")</x:f>
        <x:v>0</x:v>
      </x:c>
      <x:c r="F49" s="38" t="str">
        <x:v>PDF p6</x:v>
      </x:c>
    </x:row>
    <x:row r="50">
      <x:c r="A50" t="str">
        <x:v>储备</x:v>
      </x:c>
      <x:c r="B50" s="19" t="n">
        <x:v>7947525</x:v>
      </x:c>
      <x:c r="C50" s="19" t="n">
        <x:v>7960399</x:v>
      </x:c>
      <x:c r="D50" s="19" t="n">
        <x:f>IF(OR(B50="",C50=""),"",B50-C50)</x:f>
        <x:v>-12874</x:v>
      </x:c>
      <x:c r="E50" s="20" t="n">
        <x:f>IFERROR(B50/C50-1,"")</x:f>
        <x:v>-0.0016172556174633979</x:v>
      </x:c>
      <x:c r="F50" s="38" t="str">
        <x:v>PDF p6</x:v>
      </x:c>
    </x:row>
    <x:row r="51">
      <x:c r="A51" s="33" t="str">
        <x:v>本公司权益股东应占总权益</x:v>
      </x:c>
      <x:c r="B51" s="34" t="n">
        <x:v>7947552</x:v>
      </x:c>
      <x:c r="C51" s="34" t="n">
        <x:v>7960426</x:v>
      </x:c>
      <x:c r="D51" s="34" t="n">
        <x:f>IF(OR(B51="",C51=""),"",B51-C51)</x:f>
        <x:v>-12874</x:v>
      </x:c>
      <x:c r="E51" s="35" t="n">
        <x:f>IFERROR(B51/C51-1,"")</x:f>
        <x:v>-0.0016172501320909083</x:v>
      </x:c>
      <x:c r="F51" s="39" t="str">
        <x:v>PDF p6</x:v>
      </x:c>
    </x:row>
    <x:row r="52">
      <x:c r="A52" t="str">
        <x:v>非控股权益</x:v>
      </x:c>
      <x:c r="B52" s="19" t="n">
        <x:v>761480</x:v>
      </x:c>
      <x:c r="C52" s="19" t="n">
        <x:v>757633</x:v>
      </x:c>
      <x:c r="D52" s="19" t="n">
        <x:f>IF(OR(B52="",C52=""),"",B52-C52)</x:f>
        <x:v>3847</x:v>
      </x:c>
      <x:c r="E52" s="20" t="n">
        <x:f>IFERROR(B52/C52-1,"")</x:f>
        <x:v>0.005077656332287628</x:v>
      </x:c>
      <x:c r="F52" s="38" t="str">
        <x:v>PDF p6</x:v>
      </x:c>
    </x:row>
    <x:row r="53">
      <x:c r="A53" s="33" t="str">
        <x:v>总权益</x:v>
      </x:c>
      <x:c r="B53" s="34" t="n">
        <x:v>8709032</x:v>
      </x:c>
      <x:c r="C53" s="34" t="n">
        <x:v>8718059</x:v>
      </x:c>
      <x:c r="D53" s="34" t="n">
        <x:f>IF(OR(B53="",C53=""),"",B53-C53)</x:f>
        <x:v>-9027</x:v>
      </x:c>
      <x:c r="E53" s="35" t="n">
        <x:f>IFERROR(B53/C53-1,"")</x:f>
        <x:v>-0.0010354369017231413</x:v>
      </x:c>
      <x:c r="F53" s="39" t="str">
        <x:v>PDF p6</x:v>
      </x:c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5cde9aaa8aac443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简明综合现金流量表</x:v>
      </x:c>
      <x:c r="B1" s="3" t="str">
        <x:v>简明综合现金流量表</x:v>
      </x:c>
      <x:c r="C1" s="3" t="str">
        <x:v>简明综合现金流量表</x:v>
      </x:c>
      <x:c r="D1" s="3" t="str">
        <x:v>简明综合现金流量表</x:v>
      </x:c>
      <x:c r="E1" s="3" t="str">
        <x:v>简明综合现金流量表</x:v>
      </x:c>
      <x:c r="F1" s="3" t="str">
        <x:v>简明综合现金流量表</x:v>
      </x:c>
    </x:row>
    <x:row r="2" ht="26" customHeight="1">
      <x:c r="A2" s="6" t="str">
        <x:v>截至2026年6月30日止六个月 | 人民币千元</x:v>
      </x:c>
      <x:c r="B2" s="6" t="str">
        <x:v>截至2026年6月30日止六个月 | 人民币千元</x:v>
      </x:c>
      <x:c r="C2" s="6" t="str">
        <x:v>截至2026年6月30日止六个月 | 人民币千元</x:v>
      </x:c>
      <x:c r="D2" s="6" t="str">
        <x:v>截至2026年6月30日止六个月 | 人民币千元</x:v>
      </x:c>
      <x:c r="E2" s="6" t="str">
        <x:v>截至2026年6月30日止六个月 | 人民币千元</x:v>
      </x:c>
      <x:c r="F2" s="6" t="str">
        <x:v>截至2026年6月30日止六个月 | 人民币千元</x:v>
      </x:c>
    </x:row>
    <x:row r="5" ht="28" customHeight="1">
      <x:c r="A5" s="18" t="str">
        <x:v>项目</x:v>
      </x:c>
      <x:c r="B5" s="18" t="str">
        <x:v>2026H1</x:v>
      </x:c>
      <x:c r="C5" s="18" t="str">
        <x:v>2025H1</x:v>
      </x:c>
      <x:c r="D5" s="18" t="str">
        <x:v>变动额</x:v>
      </x:c>
      <x:c r="E5" s="18" t="str">
        <x:v>变动率</x:v>
      </x:c>
      <x:c r="F5" s="18" t="str">
        <x:v>来源</x:v>
      </x:c>
    </x:row>
    <x:row r="7">
      <x:c r="A7" s="42" t="str">
        <x:v>经营活动</x:v>
      </x:c>
      <x:c r="B7" s="43"/>
      <x:c r="C7" s="43"/>
      <x:c r="D7" s="43" t="str">
        <x:f>IF(OR(B7="",C7=""),"",B7-C7)</x:f>
      </x:c>
      <x:c r="E7" s="44" t="str">
        <x:f>IFERROR(B7/C7-1,"")</x:f>
      </x:c>
      <x:c r="F7" s="46" t="str"/>
    </x:row>
    <x:row r="8">
      <x:c r="A8" t="str">
        <x:v>经营所用现金</x:v>
      </x:c>
      <x:c r="B8" s="19" t="n">
        <x:v>-140288</x:v>
      </x:c>
      <x:c r="C8" s="19" t="n">
        <x:v>-178050</x:v>
      </x:c>
      <x:c r="D8" s="19" t="n">
        <x:f>IF(OR(B8="",C8=""),"",B8-C8)</x:f>
        <x:v>37762</x:v>
      </x:c>
      <x:c r="E8" s="20" t="n">
        <x:f>IFERROR(B8/C8-1,"")</x:f>
        <x:v>-0.21208649255827017</x:v>
      </x:c>
      <x:c r="F8" s="38" t="str">
        <x:v>PDF p7</x:v>
      </x:c>
    </x:row>
    <x:row r="9">
      <x:c r="A9" t="str">
        <x:v>已付所得税</x:v>
      </x:c>
      <x:c r="B9" s="19" t="n">
        <x:v>-250952</x:v>
      </x:c>
      <x:c r="C9" s="19" t="n">
        <x:v>-220466</x:v>
      </x:c>
      <x:c r="D9" s="19" t="n">
        <x:f>IF(OR(B9="",C9=""),"",B9-C9)</x:f>
        <x:v>-30486</x:v>
      </x:c>
      <x:c r="E9" s="20" t="n">
        <x:f>IFERROR(B9/C9-1,"")</x:f>
        <x:v>0.13827982546061524</x:v>
      </x:c>
      <x:c r="F9" s="38" t="str">
        <x:v>PDF p7</x:v>
      </x:c>
    </x:row>
    <x:row r="10">
      <x:c r="A10" s="33" t="str">
        <x:v>经营活动所用现金净额</x:v>
      </x:c>
      <x:c r="B10" s="34" t="n">
        <x:v>-391240</x:v>
      </x:c>
      <x:c r="C10" s="34" t="n">
        <x:v>-398516</x:v>
      </x:c>
      <x:c r="D10" s="34" t="n">
        <x:f>IF(OR(B10="",C10=""),"",B10-C10)</x:f>
        <x:v>7276</x:v>
      </x:c>
      <x:c r="E10" s="35" t="n">
        <x:f>IFERROR(B10/C10-1,"")</x:f>
        <x:v>-0.018257736201306884</x:v>
      </x:c>
      <x:c r="F10" s="39" t="str">
        <x:v>PDF p7</x:v>
      </x:c>
    </x:row>
    <x:row r="11">
      <x:c r="A11" s="42" t="str">
        <x:v>投资活动</x:v>
      </x:c>
      <x:c r="B11" s="43"/>
      <x:c r="C11" s="43"/>
      <x:c r="D11" s="43" t="str">
        <x:f>IF(OR(B11="",C11=""),"",B11-C11)</x:f>
      </x:c>
      <x:c r="E11" s="44" t="str">
        <x:f>IFERROR(B11/C11-1,"")</x:f>
      </x:c>
      <x:c r="F11" s="46" t="str"/>
    </x:row>
    <x:row r="12">
      <x:c r="A12" t="str">
        <x:v>购置PPE、使用权资产及无形资产</x:v>
      </x:c>
      <x:c r="B12" s="19" t="n">
        <x:v>-39456</x:v>
      </x:c>
      <x:c r="C12" s="19" t="n">
        <x:v>-68276</x:v>
      </x:c>
      <x:c r="D12" s="19" t="n">
        <x:f>IF(OR(B12="",C12=""),"",B12-C12)</x:f>
        <x:v>28820</x:v>
      </x:c>
      <x:c r="E12" s="20" t="n">
        <x:f>IFERROR(B12/C12-1,"")</x:f>
        <x:v>-0.42211025836311444</x:v>
      </x:c>
      <x:c r="F12" s="38" t="str">
        <x:v>PDF p7</x:v>
      </x:c>
    </x:row>
    <x:row r="13">
      <x:c r="A13" t="str">
        <x:v>出售PPE所得款项</x:v>
      </x:c>
      <x:c r="B13" s="19" t="n">
        <x:v>5484</x:v>
      </x:c>
      <x:c r="C13" s="19" t="n">
        <x:v>2567</x:v>
      </x:c>
      <x:c r="D13" s="19" t="n">
        <x:f>IF(OR(B13="",C13=""),"",B13-C13)</x:f>
        <x:v>2917</x:v>
      </x:c>
      <x:c r="E13" s="20" t="n">
        <x:f>IFERROR(B13/C13-1,"")</x:f>
        <x:v>1.1363459291001168</x:v>
      </x:c>
      <x:c r="F13" s="38" t="str">
        <x:v>PDF p7</x:v>
      </x:c>
    </x:row>
    <x:row r="14">
      <x:c r="A14" t="str">
        <x:v>出售附属公司（扣除现金）</x:v>
      </x:c>
      <x:c r="B14" s="19" t="n">
        <x:v>0</x:v>
      </x:c>
      <x:c r="C14" s="19" t="n">
        <x:v>3350</x:v>
      </x:c>
      <x:c r="D14" s="19" t="str">
        <x:f>IF(OR(B14="",C14=""),"",B14-C14)</x:f>
      </x:c>
      <x:c r="E14" s="20" t="n">
        <x:f>IFERROR(B14/C14-1,"")</x:f>
        <x:v>-1</x:v>
      </x:c>
      <x:c r="F14" s="38" t="str">
        <x:v>PDF p7</x:v>
      </x:c>
    </x:row>
    <x:row r="15">
      <x:c r="A15" t="str">
        <x:v>购买FVTPL金融资产</x:v>
      </x:c>
      <x:c r="B15" s="19" t="n">
        <x:v>-1180000</x:v>
      </x:c>
      <x:c r="C15" s="19" t="n">
        <x:v>-2087700</x:v>
      </x:c>
      <x:c r="D15" s="19" t="n">
        <x:f>IF(OR(B15="",C15=""),"",B15-C15)</x:f>
        <x:v>907700</x:v>
      </x:c>
      <x:c r="E15" s="20" t="n">
        <x:f>IFERROR(B15/C15-1,"")</x:f>
        <x:v>-0.4347846912870623</x:v>
      </x:c>
      <x:c r="F15" s="38" t="str">
        <x:v>PDF p7</x:v>
      </x:c>
    </x:row>
    <x:row r="16">
      <x:c r="A16" t="str">
        <x:v>赎回FVTPL金融资产</x:v>
      </x:c>
      <x:c r="B16" s="19" t="n">
        <x:v>1070028</x:v>
      </x:c>
      <x:c r="C16" s="19" t="n">
        <x:v>2370415</x:v>
      </x:c>
      <x:c r="D16" s="19" t="n">
        <x:f>IF(OR(B16="",C16=""),"",B16-C16)</x:f>
        <x:v>-1300387</x:v>
      </x:c>
      <x:c r="E16" s="20" t="n">
        <x:f>IFERROR(B16/C16-1,"")</x:f>
        <x:v>-0.5485904366956841</x:v>
      </x:c>
      <x:c r="F16" s="38" t="str">
        <x:v>PDF p7</x:v>
      </x:c>
    </x:row>
    <x:row r="17">
      <x:c r="A17" t="str">
        <x:v>投资联营及合营公司</x:v>
      </x:c>
      <x:c r="B17" s="19" t="n">
        <x:v>-2740</x:v>
      </x:c>
      <x:c r="C17" s="19" t="n">
        <x:v>-243936</x:v>
      </x:c>
      <x:c r="D17" s="19" t="n">
        <x:f>IF(OR(B17="",C17=""),"",B17-C17)</x:f>
        <x:v>241196</x:v>
      </x:c>
      <x:c r="E17" s="20" t="n">
        <x:f>IFERROR(B17/C17-1,"")</x:f>
        <x:v>-0.9887675455857274</x:v>
      </x:c>
      <x:c r="F17" s="38" t="str">
        <x:v>PDF p7</x:v>
      </x:c>
    </x:row>
    <x:row r="18">
      <x:c r="A18" t="str">
        <x:v>出售合营公司所得款</x:v>
      </x:c>
      <x:c r="B18" s="19" t="n">
        <x:v>426</x:v>
      </x:c>
      <x:c r="C18" s="19" t="n">
        <x:v>0</x:v>
      </x:c>
      <x:c r="D18" s="19" t="str">
        <x:f>IF(OR(B18="",C18=""),"",B18-C18)</x:f>
      </x:c>
      <x:c r="E18" s="20" t="str">
        <x:f>IFERROR(B18/C18-1,"")</x:f>
      </x:c>
      <x:c r="F18" s="38" t="str">
        <x:v>PDF p7</x:v>
      </x:c>
    </x:row>
    <x:row r="19">
      <x:c r="A19" t="str">
        <x:v>已收利息</x:v>
      </x:c>
      <x:c r="B19" s="19" t="n">
        <x:v>60336</x:v>
      </x:c>
      <x:c r="C19" s="19" t="n">
        <x:v>36650</x:v>
      </x:c>
      <x:c r="D19" s="19" t="n">
        <x:f>IF(OR(B19="",C19=""),"",B19-C19)</x:f>
        <x:v>23686</x:v>
      </x:c>
      <x:c r="E19" s="20" t="n">
        <x:f>IFERROR(B19/C19-1,"")</x:f>
        <x:v>0.6462755798090041</x:v>
      </x:c>
      <x:c r="F19" s="38" t="str">
        <x:v>PDF p7</x:v>
      </x:c>
    </x:row>
    <x:row r="20">
      <x:c r="A20" t="str">
        <x:v>已收联营公司股息</x:v>
      </x:c>
      <x:c r="B20" s="19" t="n">
        <x:v>13240</x:v>
      </x:c>
      <x:c r="C20" s="19" t="n">
        <x:v>3526</x:v>
      </x:c>
      <x:c r="D20" s="19" t="n">
        <x:f>IF(OR(B20="",C20=""),"",B20-C20)</x:f>
        <x:v>9714</x:v>
      </x:c>
      <x:c r="E20" s="20" t="n">
        <x:f>IFERROR(B20/C20-1,"")</x:f>
        <x:v>2.754963131026659</x:v>
      </x:c>
      <x:c r="F20" s="38" t="str">
        <x:v>PDF p7</x:v>
      </x:c>
    </x:row>
    <x:row r="21">
      <x:c r="A21" t="str">
        <x:v>其他金融资产投资收入</x:v>
      </x:c>
      <x:c r="B21" s="19" t="n">
        <x:v>3734</x:v>
      </x:c>
      <x:c r="C21" s="19" t="n">
        <x:v>25446</x:v>
      </x:c>
      <x:c r="D21" s="19" t="n">
        <x:f>IF(OR(B21="",C21=""),"",B21-C21)</x:f>
        <x:v>-21712</x:v>
      </x:c>
      <x:c r="E21" s="20" t="n">
        <x:f>IFERROR(B21/C21-1,"")</x:f>
        <x:v>-0.8532578794309518</x:v>
      </x:c>
      <x:c r="F21" s="38" t="str">
        <x:v>PDF p7</x:v>
      </x:c>
    </x:row>
    <x:row r="22">
      <x:c r="A22" t="str">
        <x:v>存放定期存款净额</x:v>
      </x:c>
      <x:c r="B22" s="19" t="n">
        <x:v>70303</x:v>
      </x:c>
      <x:c r="C22" s="19" t="n">
        <x:v>-270397</x:v>
      </x:c>
      <x:c r="D22" s="19" t="n">
        <x:f>IF(OR(B22="",C22=""),"",B22-C22)</x:f>
        <x:v>340700</x:v>
      </x:c>
      <x:c r="E22" s="20" t="n">
        <x:f>IFERROR(B22/C22-1,"")</x:f>
        <x:v>-1.2599991863815057</x:v>
      </x:c>
      <x:c r="F22" s="38" t="str">
        <x:v>PDF p7</x:v>
      </x:c>
    </x:row>
    <x:row r="23">
      <x:c r="A23" t="str">
        <x:v>贷款付款</x:v>
      </x:c>
      <x:c r="B23" s="19" t="n">
        <x:v>0</x:v>
      </x:c>
      <x:c r="C23" s="19" t="n">
        <x:v>-1682</x:v>
      </x:c>
      <x:c r="D23" s="19" t="str">
        <x:f>IF(OR(B23="",C23=""),"",B23-C23)</x:f>
      </x:c>
      <x:c r="E23" s="20" t="n">
        <x:f>IFERROR(B23/C23-1,"")</x:f>
        <x:v>-1</x:v>
      </x:c>
      <x:c r="F23" s="38" t="str">
        <x:v>PDF p7</x:v>
      </x:c>
    </x:row>
    <x:row r="24">
      <x:c r="A24" t="str">
        <x:v>偿还贷款所得款项</x:v>
      </x:c>
      <x:c r="B24" s="19" t="n">
        <x:v>2596</x:v>
      </x:c>
      <x:c r="C24" s="19" t="n">
        <x:v>6666</x:v>
      </x:c>
      <x:c r="D24" s="19" t="n">
        <x:f>IF(OR(B24="",C24=""),"",B24-C24)</x:f>
        <x:v>-4070</x:v>
      </x:c>
      <x:c r="E24" s="20" t="n">
        <x:f>IFERROR(B24/C24-1,"")</x:f>
        <x:v>-0.6105610561056105</x:v>
      </x:c>
      <x:c r="F24" s="38" t="str">
        <x:v>PDF p7</x:v>
      </x:c>
    </x:row>
    <x:row r="25">
      <x:c r="A25" s="33" t="str">
        <x:v>投资活动所得/(所用)现金净额</x:v>
      </x:c>
      <x:c r="B25" s="34" t="n">
        <x:v>3951</x:v>
      </x:c>
      <x:c r="C25" s="34" t="n">
        <x:v>-223371</x:v>
      </x:c>
      <x:c r="D25" s="34" t="n">
        <x:f>IF(OR(B25="",C25=""),"",B25-C25)</x:f>
        <x:v>227322</x:v>
      </x:c>
      <x:c r="E25" s="35" t="n">
        <x:f>IFERROR(B25/C25-1,"")</x:f>
        <x:v>-1.017688061565736</x:v>
      </x:c>
      <x:c r="F25" s="39" t="str">
        <x:v>PDF p7</x:v>
      </x:c>
    </x:row>
    <x:row r="26">
      <x:c r="A26" s="42" t="str">
        <x:v>融资活动</x:v>
      </x:c>
      <x:c r="B26" s="43"/>
      <x:c r="C26" s="43"/>
      <x:c r="D26" s="43" t="str">
        <x:f>IF(OR(B26="",C26=""),"",B26-C26)</x:f>
      </x:c>
      <x:c r="E26" s="44" t="str">
        <x:f>IFERROR(B26/C26-1,"")</x:f>
      </x:c>
      <x:c r="F26" s="46" t="str"/>
    </x:row>
    <x:row r="27">
      <x:c r="A27" t="str">
        <x:v>新增银行贷款</x:v>
      </x:c>
      <x:c r="B27" s="19" t="n">
        <x:v>8000</x:v>
      </x:c>
      <x:c r="C27" s="19" t="n">
        <x:v>479463</x:v>
      </x:c>
      <x:c r="D27" s="19" t="n">
        <x:f>IF(OR(B27="",C27=""),"",B27-C27)</x:f>
        <x:v>-471463</x:v>
      </x:c>
      <x:c r="E27" s="20" t="n">
        <x:f>IFERROR(B27/C27-1,"")</x:f>
        <x:v>-0.9833146666166107</x:v>
      </x:c>
      <x:c r="F27" s="38" t="str">
        <x:v>PDF p8</x:v>
      </x:c>
    </x:row>
    <x:row r="28">
      <x:c r="A28" t="str">
        <x:v>偿还银行贷款</x:v>
      </x:c>
      <x:c r="B28" s="19" t="n">
        <x:v>-21508</x:v>
      </x:c>
      <x:c r="C28" s="19" t="n">
        <x:v>-489607</x:v>
      </x:c>
      <x:c r="D28" s="19" t="n">
        <x:f>IF(OR(B28="",C28=""),"",B28-C28)</x:f>
        <x:v>468099</x:v>
      </x:c>
      <x:c r="E28" s="20" t="n">
        <x:f>IFERROR(B28/C28-1,"")</x:f>
        <x:v>-0.9560708895093412</x:v>
      </x:c>
      <x:c r="F28" s="38" t="str">
        <x:v>PDF p8</x:v>
      </x:c>
    </x:row>
    <x:row r="29">
      <x:c r="A29" t="str">
        <x:v>非控股权益注资</x:v>
      </x:c>
      <x:c r="B29" s="19" t="n">
        <x:v>2820</x:v>
      </x:c>
      <x:c r="C29" s="19" t="n">
        <x:v>3360</x:v>
      </x:c>
      <x:c r="D29" s="19" t="n">
        <x:f>IF(OR(B29="",C29=""),"",B29-C29)</x:f>
        <x:v>-540</x:v>
      </x:c>
      <x:c r="E29" s="20" t="n">
        <x:f>IFERROR(B29/C29-1,"")</x:f>
        <x:v>-0.1607142857142857</x:v>
      </x:c>
      <x:c r="F29" s="38" t="str">
        <x:v>PDF p8</x:v>
      </x:c>
    </x:row>
    <x:row r="30">
      <x:c r="A30" t="str">
        <x:v>行使购股权所得款</x:v>
      </x:c>
      <x:c r="B30" s="19" t="n">
        <x:v>3643</x:v>
      </x:c>
      <x:c r="C30" s="19" t="n">
        <x:v>0</x:v>
      </x:c>
      <x:c r="D30" s="19" t="str">
        <x:f>IF(OR(B30="",C30=""),"",B30-C30)</x:f>
      </x:c>
      <x:c r="E30" s="20" t="str">
        <x:f>IFERROR(B30/C30-1,"")</x:f>
      </x:c>
      <x:c r="F30" s="38" t="str">
        <x:v>PDF p8</x:v>
      </x:c>
    </x:row>
    <x:row r="31">
      <x:c r="A31" t="str">
        <x:v>租赁租金资本部分</x:v>
      </x:c>
      <x:c r="B31" s="19" t="n">
        <x:v>-63452</x:v>
      </x:c>
      <x:c r="C31" s="19" t="n">
        <x:v>-70942</x:v>
      </x:c>
      <x:c r="D31" s="19" t="n">
        <x:f>IF(OR(B31="",C31=""),"",B31-C31)</x:f>
        <x:v>7490</x:v>
      </x:c>
      <x:c r="E31" s="20" t="n">
        <x:f>IFERROR(B31/C31-1,"")</x:f>
        <x:v>-0.10557920554819433</x:v>
      </x:c>
      <x:c r="F31" s="38" t="str">
        <x:v>PDF p8</x:v>
      </x:c>
    </x:row>
    <x:row r="32">
      <x:c r="A32" t="str">
        <x:v>租赁租金利息部分</x:v>
      </x:c>
      <x:c r="B32" s="19" t="n">
        <x:v>-12173</x:v>
      </x:c>
      <x:c r="C32" s="19" t="n">
        <x:v>-14532</x:v>
      </x:c>
      <x:c r="D32" s="19" t="n">
        <x:f>IF(OR(B32="",C32=""),"",B32-C32)</x:f>
        <x:v>2359</x:v>
      </x:c>
      <x:c r="E32" s="20" t="n">
        <x:f>IFERROR(B32/C32-1,"")</x:f>
        <x:v>-0.1623314065510597</x:v>
      </x:c>
      <x:c r="F32" s="38" t="str">
        <x:v>PDF p8</x:v>
      </x:c>
    </x:row>
    <x:row r="33">
      <x:c r="A33" t="str">
        <x:v>回购股份付款</x:v>
      </x:c>
      <x:c r="B33" s="19" t="n">
        <x:v>-44768</x:v>
      </x:c>
      <x:c r="C33" s="19" t="n">
        <x:v>-60022</x:v>
      </x:c>
      <x:c r="D33" s="19" t="n">
        <x:f>IF(OR(B33="",C33=""),"",B33-C33)</x:f>
        <x:v>15254</x:v>
      </x:c>
      <x:c r="E33" s="20" t="n">
        <x:f>IFERROR(B33/C33-1,"")</x:f>
        <x:v>-0.2541401486121755</x:v>
      </x:c>
      <x:c r="F33" s="38" t="str">
        <x:v>PDF p8</x:v>
      </x:c>
    </x:row>
    <x:row r="34">
      <x:c r="A34" t="str">
        <x:v>已付非控股权益股息</x:v>
      </x:c>
      <x:c r="B34" s="19" t="n">
        <x:v>-16312</x:v>
      </x:c>
      <x:c r="C34" s="19" t="n">
        <x:v>-23303</x:v>
      </x:c>
      <x:c r="D34" s="19" t="n">
        <x:f>IF(OR(B34="",C34=""),"",B34-C34)</x:f>
        <x:v>6991</x:v>
      </x:c>
      <x:c r="E34" s="20" t="n">
        <x:f>IFERROR(B34/C34-1,"")</x:f>
        <x:v>-0.3000042912929666</x:v>
      </x:c>
      <x:c r="F34" s="38" t="str">
        <x:v>PDF p8</x:v>
      </x:c>
    </x:row>
    <x:row r="35">
      <x:c r="A35" t="str">
        <x:v>已付利息</x:v>
      </x:c>
      <x:c r="B35" s="19" t="n">
        <x:v>-2032</x:v>
      </x:c>
      <x:c r="C35" s="19" t="n">
        <x:v>-2051</x:v>
      </x:c>
      <x:c r="D35" s="19" t="n">
        <x:f>IF(OR(B35="",C35=""),"",B35-C35)</x:f>
        <x:v>19</x:v>
      </x:c>
      <x:c r="E35" s="20" t="n">
        <x:f>IFERROR(B35/C35-1,"")</x:f>
        <x:v>-0.009263773768893202</x:v>
      </x:c>
      <x:c r="F35" s="38" t="str">
        <x:v>PDF p8</x:v>
      </x:c>
    </x:row>
    <x:row r="36">
      <x:c r="A36" s="33" t="str">
        <x:v>融资活动所用现金净额</x:v>
      </x:c>
      <x:c r="B36" s="34" t="n">
        <x:v>-145782</x:v>
      </x:c>
      <x:c r="C36" s="34" t="n">
        <x:v>-177634</x:v>
      </x:c>
      <x:c r="D36" s="34" t="n">
        <x:f>IF(OR(B36="",C36=""),"",B36-C36)</x:f>
        <x:v>31852</x:v>
      </x:c>
      <x:c r="E36" s="35" t="n">
        <x:f>IFERROR(B36/C36-1,"")</x:f>
        <x:v>-0.179312518999741</x:v>
      </x:c>
      <x:c r="F36" s="39" t="str">
        <x:v>PDF p8</x:v>
      </x:c>
    </x:row>
    <x:row r="37">
      <x:c r="A37" s="33" t="str">
        <x:v>现金及现金等价物减少净额</x:v>
      </x:c>
      <x:c r="B37" s="34" t="n">
        <x:v>-533071</x:v>
      </x:c>
      <x:c r="C37" s="34" t="n">
        <x:v>-799521</x:v>
      </x:c>
      <x:c r="D37" s="34" t="n">
        <x:f>IF(OR(B37="",C37=""),"",B37-C37)</x:f>
        <x:v>266450</x:v>
      </x:c>
      <x:c r="E37" s="35" t="n">
        <x:f>IFERROR(B37/C37-1,"")</x:f>
        <x:v>-0.3332620406468373</x:v>
      </x:c>
      <x:c r="F37" s="39" t="str">
        <x:v>PDF p8</x:v>
      </x:c>
    </x:row>
    <x:row r="38">
      <x:c r="A38" t="str">
        <x:v>期初现金及现金等价物</x:v>
      </x:c>
      <x:c r="B38" s="19" t="n">
        <x:v>5319928</x:v>
      </x:c>
      <x:c r="C38" s="19" t="n">
        <x:v>4853862</x:v>
      </x:c>
      <x:c r="D38" s="19" t="n">
        <x:f>IF(OR(B38="",C38=""),"",B38-C38)</x:f>
        <x:v>466066</x:v>
      </x:c>
      <x:c r="E38" s="20" t="n">
        <x:f>IFERROR(B38/C38-1,"")</x:f>
        <x:v>0.09601962313720502</x:v>
      </x:c>
      <x:c r="F38" s="38" t="str">
        <x:v>PDF p8</x:v>
      </x:c>
    </x:row>
    <x:row r="39">
      <x:c r="A39" t="str">
        <x:v>汇率变动影响</x:v>
      </x:c>
      <x:c r="B39" s="19" t="n">
        <x:v>-7032</x:v>
      </x:c>
      <x:c r="C39" s="19" t="n">
        <x:v>-6876</x:v>
      </x:c>
      <x:c r="D39" s="19" t="n">
        <x:f>IF(OR(B39="",C39=""),"",B39-C39)</x:f>
        <x:v>-156</x:v>
      </x:c>
      <x:c r="E39" s="20" t="n">
        <x:f>IFERROR(B39/C39-1,"")</x:f>
        <x:v>0.022687609075043635</x:v>
      </x:c>
      <x:c r="F39" s="38" t="str">
        <x:v>PDF p8</x:v>
      </x:c>
    </x:row>
    <x:row r="40">
      <x:c r="A40" s="33" t="str">
        <x:v>期末现金及现金等价物</x:v>
      </x:c>
      <x:c r="B40" s="34" t="n">
        <x:v>4779825</x:v>
      </x:c>
      <x:c r="C40" s="34" t="n">
        <x:v>4047465</x:v>
      </x:c>
      <x:c r="D40" s="34" t="n">
        <x:f>IF(OR(B40="",C40=""),"",B40-C40)</x:f>
        <x:v>732360</x:v>
      </x:c>
      <x:c r="E40" s="35" t="n">
        <x:f>IFERROR(B40/C40-1,"")</x:f>
        <x:v>0.1809428864733853</x:v>
      </x:c>
      <x:c r="F40" s="39" t="str">
        <x:v>PDF p8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38" hidden="0" customWidth="1"/>
  </x:cols>
  <x:sheetData>
    <x:row r="1" ht="30" customHeight="1">
      <x:c r="A1" s="3" t="str">
        <x:v>收入与毛利拆分</x:v>
      </x:c>
      <x:c r="B1" s="3" t="str">
        <x:v>收入与毛利拆分</x:v>
      </x:c>
      <x:c r="C1" s="3" t="str">
        <x:v>收入与毛利拆分</x:v>
      </x:c>
      <x:c r="D1" s="3" t="str">
        <x:v>收入与毛利拆分</x:v>
      </x:c>
      <x:c r="E1" s="3" t="str">
        <x:v>收入与毛利拆分</x:v>
      </x:c>
      <x:c r="F1" s="3" t="str">
        <x:v>收入与毛利拆分</x:v>
      </x:c>
      <x:c r="G1" s="3" t="str">
        <x:v>收入与毛利拆分</x:v>
      </x:c>
      <x:c r="H1" s="3" t="str">
        <x:v>收入与毛利拆分</x:v>
      </x:c>
      <x:c r="I1" s="3" t="str">
        <x:v>收入与毛利拆分</x:v>
      </x:c>
      <x:c r="J1" s="3" t="str">
        <x:v>收入与毛利拆分</x:v>
      </x:c>
    </x:row>
    <x:row r="2" ht="26" customHeight="1">
      <x:c r="A2" s="6" t="str">
        <x:v>截至2026年6月30日止六个月 | 人民币千元 | 业务线毛利为公告百万元口径约数</x:v>
      </x:c>
      <x:c r="B2" s="6" t="str">
        <x:v>截至2026年6月30日止六个月 | 人民币千元 | 业务线毛利为公告百万元口径约数</x:v>
      </x:c>
      <x:c r="C2" s="6" t="str">
        <x:v>截至2026年6月30日止六个月 | 人民币千元 | 业务线毛利为公告百万元口径约数</x:v>
      </x:c>
      <x:c r="D2" s="6" t="str">
        <x:v>截至2026年6月30日止六个月 | 人民币千元 | 业务线毛利为公告百万元口径约数</x:v>
      </x:c>
      <x:c r="E2" s="6" t="str">
        <x:v>截至2026年6月30日止六个月 | 人民币千元 | 业务线毛利为公告百万元口径约数</x:v>
      </x:c>
      <x:c r="F2" s="6" t="str">
        <x:v>截至2026年6月30日止六个月 | 人民币千元 | 业务线毛利为公告百万元口径约数</x:v>
      </x:c>
      <x:c r="G2" s="6" t="str">
        <x:v>截至2026年6月30日止六个月 | 人民币千元 | 业务线毛利为公告百万元口径约数</x:v>
      </x:c>
      <x:c r="H2" s="6" t="str">
        <x:v>截至2026年6月30日止六个月 | 人民币千元 | 业务线毛利为公告百万元口径约数</x:v>
      </x:c>
      <x:c r="I2" s="6" t="str">
        <x:v>截至2026年6月30日止六个月 | 人民币千元 | 业务线毛利为公告百万元口径约数</x:v>
      </x:c>
      <x:c r="J2" s="6" t="str">
        <x:v>截至2026年6月30日止六个月 | 人民币千元 | 业务线毛利为公告百万元口径约数</x:v>
      </x:c>
    </x:row>
    <x:row r="5" ht="28" customHeight="1">
      <x:c r="A5" s="18" t="str">
        <x:v>业务板块</x:v>
      </x:c>
      <x:c r="B5" s="18" t="str">
        <x:v>2026收入</x:v>
      </x:c>
      <x:c r="C5" s="18" t="str">
        <x:v>2025收入</x:v>
      </x:c>
      <x:c r="D5" s="18" t="str">
        <x:v>收入增长</x:v>
      </x:c>
      <x:c r="E5" s="18" t="str">
        <x:v>2026占比</x:v>
      </x:c>
      <x:c r="F5" s="18" t="str">
        <x:v>2025占比</x:v>
      </x:c>
      <x:c r="G5" s="18" t="str">
        <x:v>2026约毛利</x:v>
      </x:c>
      <x:c r="H5" s="18" t="str">
        <x:v>2025约毛利</x:v>
      </x:c>
      <x:c r="I5" s="18" t="str">
        <x:v>2026毛利率</x:v>
      </x:c>
      <x:c r="J5" s="18" t="str">
        <x:v>来源/备注</x:v>
      </x:c>
    </x:row>
    <x:row r="7">
      <x:c r="A7" t="str">
        <x:v>物业服务</x:v>
      </x:c>
      <x:c r="B7" s="19" t="n">
        <x:v>7299569</x:v>
      </x:c>
      <x:c r="C7" s="19" t="n">
        <x:v>6632856</x:v>
      </x:c>
      <x:c r="D7" s="20" t="n">
        <x:f>B7/C7-1</x:f>
        <x:v>0.1005167306511705</x:v>
      </x:c>
      <x:c r="E7" s="20" t="n">
        <x:f>B7/$B$10</x:f>
        <x:v>0.739507191676183</x:v>
      </x:c>
      <x:c r="F7" s="20" t="n">
        <x:f>C7/$C$10</x:f>
        <x:v>0.7140771200654213</x:v>
      </x:c>
      <x:c r="G7" s="19" t="n">
        <x:v>1165400</x:v>
      </x:c>
      <x:c r="H7" s="19" t="n">
        <x:v>1017800</x:v>
      </x:c>
      <x:c r="I7" s="20" t="n">
        <x:f>G7/B7</x:f>
        <x:v>0.1596532617199728</x:v>
      </x:c>
      <x:c r="J7" s="38" t="str">
        <x:v>PDF p28,p33 | 毛利为约数</x:v>
      </x:c>
    </x:row>
    <x:row r="8">
      <x:c r="A8" t="str">
        <x:v>园区服务</x:v>
      </x:c>
      <x:c r="B8" s="19" t="n">
        <x:v>1266401</x:v>
      </x:c>
      <x:c r="C8" s="19" t="n">
        <x:v>1356749</x:v>
      </x:c>
      <x:c r="D8" s="20" t="n">
        <x:f>B8/C8-1</x:f>
        <x:v>-0.06659153609105295</x:v>
      </x:c>
      <x:c r="E8" s="20" t="n">
        <x:f>B8/$B$10</x:f>
        <x:v>0.12829697849912916</x:v>
      </x:c>
      <x:c r="F8" s="20" t="n">
        <x:f>C8/$C$10</x:f>
        <x:v>0.14606429245134228</x:v>
      </x:c>
      <x:c r="G8" s="19" t="n">
        <x:v>362700</x:v>
      </x:c>
      <x:c r="H8" s="19" t="n">
        <x:v>360500</x:v>
      </x:c>
      <x:c r="I8" s="20" t="n">
        <x:f>G8/B8</x:f>
        <x:v>0.2864021743507783</x:v>
      </x:c>
      <x:c r="J8" s="38" t="str">
        <x:v>PDF p28,p36 | 毛利为约数</x:v>
      </x:c>
    </x:row>
    <x:row r="9">
      <x:c r="A9" t="str">
        <x:v>咨询服务</x:v>
      </x:c>
      <x:c r="B9" s="19" t="n">
        <x:v>1304886</x:v>
      </x:c>
      <x:c r="C9" s="19" t="n">
        <x:v>1299106</x:v>
      </x:c>
      <x:c r="D9" s="20" t="n">
        <x:f>B9/C9-1</x:f>
        <x:v>0.004449213536077856</x:v>
      </x:c>
      <x:c r="E9" s="20" t="n">
        <x:f>B9/$B$10</x:f>
        <x:v>0.13219582982468794</x:v>
      </x:c>
      <x:c r="F9" s="20" t="n">
        <x:f>C9/$C$10</x:f>
        <x:v>0.13985858748323637</x:v>
      </x:c>
      <x:c r="G9" s="19" t="n">
        <x:v>441000</x:v>
      </x:c>
      <x:c r="H9" s="19" t="n">
        <x:v>429800</x:v>
      </x:c>
      <x:c r="I9" s="20" t="n">
        <x:f>G9/B9</x:f>
        <x:v>0.33796055747398623</x:v>
      </x:c>
      <x:c r="J9" s="38" t="str">
        <x:v>PDF p28,p39 | 毛利为约数</x:v>
      </x:c>
    </x:row>
    <x:row r="10">
      <x:c r="A10" s="33" t="str">
        <x:v>收入合计/毛利精确值</x:v>
      </x:c>
      <x:c r="B10" s="34" t="n">
        <x:v>9870856</x:v>
      </x:c>
      <x:c r="C10" s="34" t="n">
        <x:v>9288711</x:v>
      </x:c>
      <x:c r="D10" s="35" t="n">
        <x:f>B10/C10-1</x:f>
        <x:v>0.06267231265995887</x:v>
      </x:c>
      <x:c r="E10" s="35" t="n">
        <x:f>B10/$B$10</x:f>
        <x:v>1</x:v>
      </x:c>
      <x:c r="F10" s="35" t="n">
        <x:f>C10/$C$10</x:f>
        <x:v>1</x:v>
      </x:c>
      <x:c r="G10" s="34" t="n">
        <x:v>1969119</x:v>
      </x:c>
      <x:c r="H10" s="34" t="n">
        <x:v>1808096</x:v>
      </x:c>
      <x:c r="I10" s="35" t="n">
        <x:f>G10/B10</x:f>
        <x:v>0.1994881700229443</x:v>
      </x:c>
      <x:c r="J10" s="39" t="str">
        <x:v>PDF p3,p28 | 总毛利为精确值</x:v>
      </x:c>
    </x:row>
    <x:row r="13" ht="22" customHeight="1">
      <x:c r="A13" s="13" t="str">
        <x:v>收入明细</x:v>
      </x:c>
      <x:c r="B13" s="13" t="str">
        <x:v>收入明细</x:v>
      </x:c>
      <x:c r="C13" s="13" t="str">
        <x:v>收入明细</x:v>
      </x:c>
      <x:c r="D13" s="13" t="str">
        <x:v>收入明细</x:v>
      </x:c>
      <x:c r="E13" s="13" t="str">
        <x:v>收入明细</x:v>
      </x:c>
      <x:c r="F13" s="13" t="str">
        <x:v>收入明细</x:v>
      </x:c>
      <x:c r="G13" s="13" t="str">
        <x:v>收入明细</x:v>
      </x:c>
      <x:c r="H13" s="13" t="str">
        <x:v>收入明细</x:v>
      </x:c>
      <x:c r="I13" s="13" t="str">
        <x:v>收入明细</x:v>
      </x:c>
      <x:c r="J13" s="13" t="str">
        <x:v>收入明细</x:v>
      </x:c>
    </x:row>
    <x:row r="14" ht="28" customHeight="1">
      <x:c r="A14" s="18" t="str">
        <x:v>收入项目</x:v>
      </x:c>
      <x:c r="B14" s="18" t="str">
        <x:v>2026H1</x:v>
      </x:c>
      <x:c r="C14" s="18" t="str">
        <x:v>2025H1</x:v>
      </x:c>
      <x:c r="D14" s="18" t="str">
        <x:v>变动额</x:v>
      </x:c>
      <x:c r="E14" s="18" t="str">
        <x:v>变动率</x:v>
      </x:c>
      <x:c r="F14" s="18" t="str">
        <x:v>2026占比</x:v>
      </x:c>
      <x:c r="G14" s="18" t="str">
        <x:v>2025占比</x:v>
      </x:c>
      <x:c r="H14" s="18" t="str">
        <x:v>来源</x:v>
      </x:c>
      <x:c r="I14" s="18" t="str">
        <x:v>备注</x:v>
      </x:c>
      <x:c r="J14" s="18" t="str"/>
    </x:row>
    <x:row r="16">
      <x:c r="A16" s="33" t="str">
        <x:v>物业服务</x:v>
      </x:c>
      <x:c r="B16" s="34" t="n">
        <x:v>7299569</x:v>
      </x:c>
      <x:c r="C16" s="34" t="n">
        <x:v>6632856</x:v>
      </x:c>
      <x:c r="D16" s="34" t="n">
        <x:f>B16-C16</x:f>
        <x:v>666713</x:v>
      </x:c>
      <x:c r="E16" s="35" t="n">
        <x:f>B16/C16-1</x:f>
        <x:v>0.1005167306511705</x:v>
      </x:c>
      <x:c r="F16" s="35" t="n">
        <x:f>B16/$B$26</x:f>
        <x:v>0.739507191676183</x:v>
      </x:c>
      <x:c r="G16" s="35" t="n">
        <x:f>C16/$C$26</x:f>
        <x:v>0.7140771200654213</x:v>
      </x:c>
      <x:c r="H16" s="39" t="str">
        <x:v>PDF p28</x:v>
      </x:c>
      <x:c r="I16" s="39" t="str"/>
      <x:c r="J16" s="33" t="str"/>
    </x:row>
    <x:row r="17">
      <x:c r="A17" t="str">
        <x:v>园区产品和服务</x:v>
      </x:c>
      <x:c r="B17" s="19" t="n">
        <x:v>616231</x:v>
      </x:c>
      <x:c r="C17" s="19" t="n">
        <x:v>676200</x:v>
      </x:c>
      <x:c r="D17" s="19" t="n">
        <x:f>B17-C17</x:f>
        <x:v>-59969</x:v>
      </x:c>
      <x:c r="E17" s="20" t="n">
        <x:f>B17/C17-1</x:f>
        <x:v>-0.08868530020703935</x:v>
      </x:c>
      <x:c r="F17" s="20" t="n">
        <x:f>B17/$B$26</x:f>
        <x:v>0.06242933743537541</x:v>
      </x:c>
      <x:c r="G17" s="20" t="n">
        <x:f>C17/$C$26</x:f>
        <x:v>0.07279804485250968</x:v>
      </x:c>
      <x:c r="H17" s="38" t="str">
        <x:v>PDF p28</x:v>
      </x:c>
      <x:c r="I17" s="38" t="str"/>
      <x:c r="J17" t="str"/>
    </x:row>
    <x:row r="18">
      <x:c r="A18" t="str">
        <x:v>居家生活服务</x:v>
      </x:c>
      <x:c r="B18" s="19" t="n">
        <x:v>126732</x:v>
      </x:c>
      <x:c r="C18" s="19" t="n">
        <x:v>123041</x:v>
      </x:c>
      <x:c r="D18" s="19" t="n">
        <x:f>B18-C18</x:f>
        <x:v>3691</x:v>
      </x:c>
      <x:c r="E18" s="20" t="n">
        <x:f>B18/C18-1</x:f>
        <x:v>0.029998130704399273</x:v>
      </x:c>
      <x:c r="F18" s="20" t="n">
        <x:f>B18/$B$26</x:f>
        <x:v>0.012839008086026176</x:v>
      </x:c>
      <x:c r="G18" s="20" t="n">
        <x:f>C18/$C$26</x:f>
        <x:v>0.013246294345900094</x:v>
      </x:c>
      <x:c r="H18" s="38" t="str">
        <x:v>PDF p28</x:v>
      </x:c>
      <x:c r="I18" s="38" t="str"/>
      <x:c r="J18" t="str"/>
    </x:row>
    <x:row r="19">
      <x:c r="A19" t="str">
        <x:v>园区空间服务</x:v>
      </x:c>
      <x:c r="B19" s="19" t="n">
        <x:v>181409</x:v>
      </x:c>
      <x:c r="C19" s="19" t="n">
        <x:v>173015</x:v>
      </x:c>
      <x:c r="D19" s="19" t="n">
        <x:f>B19-C19</x:f>
        <x:v>8394</x:v>
      </x:c>
      <x:c r="E19" s="20" t="n">
        <x:f>B19/C19-1</x:f>
        <x:v>0.04851602462214255</x:v>
      </x:c>
      <x:c r="F19" s="20" t="n">
        <x:f>B19/$B$26</x:f>
        <x:v>0.018378243994239204</x:v>
      </x:c>
      <x:c r="G19" s="20" t="n">
        <x:f>C19/$C$26</x:f>
        <x:v>0.018626373454831355</x:v>
      </x:c>
      <x:c r="H19" s="38" t="str">
        <x:v>PDF p28</x:v>
      </x:c>
      <x:c r="I19" s="38" t="str"/>
      <x:c r="J19" t="str"/>
    </x:row>
    <x:row r="20">
      <x:c r="A20" t="str">
        <x:v>物业资产管理服务</x:v>
      </x:c>
      <x:c r="B20" s="19" t="n">
        <x:v>289920</x:v>
      </x:c>
      <x:c r="C20" s="19" t="n">
        <x:v>333472</x:v>
      </x:c>
      <x:c r="D20" s="19" t="n">
        <x:f>B20-C20</x:f>
        <x:v>-43552</x:v>
      </x:c>
      <x:c r="E20" s="20" t="n">
        <x:f>B20/C20-1</x:f>
        <x:v>-0.13060166970540255</x:v>
      </x:c>
      <x:c r="F20" s="20" t="n">
        <x:f>B20/$B$26</x:f>
        <x:v>0.029371312883097474</x:v>
      </x:c>
      <x:c r="G20" s="20" t="n">
        <x:f>C20/$C$26</x:f>
        <x:v>0.03590078321954467</x:v>
      </x:c>
      <x:c r="H20" s="38" t="str">
        <x:v>PDF p28</x:v>
      </x:c>
      <x:c r="I20" s="38" t="str"/>
      <x:c r="J20" t="str"/>
    </x:row>
    <x:row r="21">
      <x:c r="A21" t="str">
        <x:v>文化教育服务</x:v>
      </x:c>
      <x:c r="B21" s="19" t="n">
        <x:v>52109</x:v>
      </x:c>
      <x:c r="C21" s="19" t="n">
        <x:v>51021</x:v>
      </x:c>
      <x:c r="D21" s="19" t="n">
        <x:f>B21-C21</x:f>
        <x:v>1088</x:v>
      </x:c>
      <x:c r="E21" s="20" t="n">
        <x:f>B21/C21-1</x:f>
        <x:v>0.02132455263518951</x:v>
      </x:c>
      <x:c r="F21" s="20" t="n">
        <x:f>B21/$B$26</x:f>
        <x:v>0.005279076100390888</x:v>
      </x:c>
      <x:c r="G21" s="20" t="n">
        <x:f>C21/$C$26</x:f>
        <x:v>0.005492796578556487</x:v>
      </x:c>
      <x:c r="H21" s="38" t="str">
        <x:v>PDF p28</x:v>
      </x:c>
      <x:c r="I21" s="38" t="str"/>
      <x:c r="J21" t="str"/>
    </x:row>
    <x:row r="22">
      <x:c r="A22" s="33" t="str">
        <x:v>园区服务小计</x:v>
      </x:c>
      <x:c r="B22" s="34" t="n">
        <x:v>1266401</x:v>
      </x:c>
      <x:c r="C22" s="34" t="n">
        <x:v>1356749</x:v>
      </x:c>
      <x:c r="D22" s="34" t="n">
        <x:f>B22-C22</x:f>
        <x:v>-90348</x:v>
      </x:c>
      <x:c r="E22" s="35" t="n">
        <x:f>B22/C22-1</x:f>
        <x:v>-0.06659153609105295</x:v>
      </x:c>
      <x:c r="F22" s="35" t="n">
        <x:f>B22/$B$26</x:f>
        <x:v>0.12829697849912916</x:v>
      </x:c>
      <x:c r="G22" s="35" t="n">
        <x:f>C22/$C$26</x:f>
        <x:v>0.14606429245134228</x:v>
      </x:c>
      <x:c r="H22" s="39" t="str">
        <x:v>PDF p28</x:v>
      </x:c>
      <x:c r="I22" s="39" t="str"/>
      <x:c r="J22" s="33" t="str"/>
    </x:row>
    <x:row r="23">
      <x:c r="A23" t="str">
        <x:v>在建物业服务</x:v>
      </x:c>
      <x:c r="B23" s="19" t="n">
        <x:v>1028755</x:v>
      </x:c>
      <x:c r="C23" s="19" t="n">
        <x:v>1011618</x:v>
      </x:c>
      <x:c r="D23" s="19" t="n">
        <x:f>B23-C23</x:f>
        <x:v>17137</x:v>
      </x:c>
      <x:c r="E23" s="20" t="n">
        <x:f>B23/C23-1</x:f>
        <x:v>0.01694018888552784</x:v>
      </x:c>
      <x:c r="F23" s="20" t="n">
        <x:f>B23/$B$26</x:f>
        <x:v>0.10422145759192517</x:v>
      </x:c>
      <x:c r="G23" s="20" t="n">
        <x:f>C23/$C$26</x:f>
        <x:v>0.10890832969181623</x:v>
      </x:c>
      <x:c r="H23" s="38" t="str">
        <x:v>PDF p28</x:v>
      </x:c>
      <x:c r="I23" s="38" t="str"/>
      <x:c r="J23" t="str"/>
    </x:row>
    <x:row r="24">
      <x:c r="A24" t="str">
        <x:v>管理咨询服务</x:v>
      </x:c>
      <x:c r="B24" s="19" t="n">
        <x:v>276131</x:v>
      </x:c>
      <x:c r="C24" s="19" t="n">
        <x:v>287488</x:v>
      </x:c>
      <x:c r="D24" s="19" t="n">
        <x:f>B24-C24</x:f>
        <x:v>-11357</x:v>
      </x:c>
      <x:c r="E24" s="20" t="n">
        <x:f>B24/C24-1</x:f>
        <x:v>-0.03950425756901155</x:v>
      </x:c>
      <x:c r="F24" s="20" t="n">
        <x:f>B24/$B$26</x:f>
        <x:v>0.027974372232762793</x:v>
      </x:c>
      <x:c r="G24" s="20" t="n">
        <x:f>C24/$C$26</x:f>
        <x:v>0.030950257791420143</x:v>
      </x:c>
      <x:c r="H24" s="38" t="str">
        <x:v>PDF p28</x:v>
      </x:c>
      <x:c r="I24" s="38" t="str"/>
      <x:c r="J24" t="str"/>
    </x:row>
    <x:row r="25">
      <x:c r="A25" s="33" t="str">
        <x:v>咨询服务小计</x:v>
      </x:c>
      <x:c r="B25" s="34" t="n">
        <x:v>1304886</x:v>
      </x:c>
      <x:c r="C25" s="34" t="n">
        <x:v>1299106</x:v>
      </x:c>
      <x:c r="D25" s="34" t="n">
        <x:f>B25-C25</x:f>
        <x:v>5780</x:v>
      </x:c>
      <x:c r="E25" s="35" t="n">
        <x:f>B25/C25-1</x:f>
        <x:v>0.004449213536077856</x:v>
      </x:c>
      <x:c r="F25" s="35" t="n">
        <x:f>B25/$B$26</x:f>
        <x:v>0.13219582982468794</x:v>
      </x:c>
      <x:c r="G25" s="35" t="n">
        <x:f>C25/$C$26</x:f>
        <x:v>0.13985858748323637</x:v>
      </x:c>
      <x:c r="H25" s="39" t="str">
        <x:v>PDF p28</x:v>
      </x:c>
      <x:c r="I25" s="39" t="str"/>
      <x:c r="J25" s="33" t="str"/>
    </x:row>
    <x:row r="26">
      <x:c r="A26" s="33" t="str">
        <x:v>收入合计</x:v>
      </x:c>
      <x:c r="B26" s="34" t="n">
        <x:v>9870856</x:v>
      </x:c>
      <x:c r="C26" s="34" t="n">
        <x:v>9288711</x:v>
      </x:c>
      <x:c r="D26" s="34" t="n">
        <x:f>B26-C26</x:f>
        <x:v>582145</x:v>
      </x:c>
      <x:c r="E26" s="35" t="n">
        <x:f>B26/C26-1</x:f>
        <x:v>0.06267231265995887</x:v>
      </x:c>
      <x:c r="F26" s="35" t="n">
        <x:f>B26/$B$26</x:f>
        <x:v>1</x:v>
      </x:c>
      <x:c r="G26" s="35" t="n">
        <x:f>C26/$C$26</x:f>
        <x:v>1</x:v>
      </x:c>
      <x:c r="H26" s="39" t="str">
        <x:v>PDF p28</x:v>
      </x:c>
      <x:c r="I26" s="39" t="str"/>
      <x:c r="J26" s="33" t="str"/>
    </x:row>
    <x:row r="29" ht="22" customHeight="1">
      <x:c r="A29" s="13" t="str">
        <x:v>收入确认时间</x:v>
      </x:c>
      <x:c r="B29" s="13" t="str">
        <x:v>收入确认时间</x:v>
      </x:c>
      <x:c r="C29" s="13" t="str">
        <x:v>收入确认时间</x:v>
      </x:c>
      <x:c r="D29" s="13" t="str">
        <x:v>收入确认时间</x:v>
      </x:c>
      <x:c r="E29" s="13" t="str">
        <x:v>收入确认时间</x:v>
      </x:c>
      <x:c r="F29" s="13" t="str">
        <x:v>收入确认时间</x:v>
      </x:c>
      <x:c r="G29" s="13" t="str">
        <x:v>收入确认时间</x:v>
      </x:c>
      <x:c r="H29" s="13" t="str">
        <x:v>收入确认时间</x:v>
      </x:c>
      <x:c r="I29" s="13" t="str">
        <x:v>收入确认时间</x:v>
      </x:c>
      <x:c r="J29" s="13" t="str">
        <x:v>收入确认时间</x:v>
      </x:c>
    </x:row>
    <x:row r="30" ht="28" customHeight="1">
      <x:c r="A30" s="18" t="str">
        <x:v>类别</x:v>
      </x:c>
      <x:c r="B30" s="18" t="str">
        <x:v>2026H1</x:v>
      </x:c>
      <x:c r="C30" s="18" t="str">
        <x:v>2025H1</x:v>
      </x:c>
      <x:c r="D30" s="18" t="str">
        <x:v>变动额</x:v>
      </x:c>
      <x:c r="E30" s="18" t="str">
        <x:v>变动率</x:v>
      </x:c>
      <x:c r="F30" s="18" t="str">
        <x:v>来源</x:v>
      </x:c>
      <x:c r="G30" s="18" t="str"/>
      <x:c r="H30" s="18" t="str"/>
      <x:c r="I30" s="18" t="str"/>
      <x:c r="J30" s="18" t="str"/>
    </x:row>
    <x:row r="32">
      <x:c r="A32" t="str">
        <x:v>随时间确认的客户合约收入</x:v>
      </x:c>
      <x:c r="B32" s="19" t="n">
        <x:v>9011529</x:v>
      </x:c>
      <x:c r="C32" s="19" t="n">
        <x:v>8312706</x:v>
      </x:c>
      <x:c r="D32" s="19" t="n">
        <x:f>IF(OR(B32="",C32=""),"",B32-C32)</x:f>
        <x:v>698823</x:v>
      </x:c>
      <x:c r="E32" s="20" t="n">
        <x:f>IFERROR(B32/C32-1,"")</x:f>
        <x:v>0.08406684898996786</x:v>
      </x:c>
      <x:c r="F32" s="38" t="str">
        <x:v>PDF p11</x:v>
      </x:c>
    </x:row>
    <x:row r="33">
      <x:c r="A33" t="str">
        <x:v>于某一时间点确认的客户合约收入</x:v>
      </x:c>
      <x:c r="B33" s="19" t="n">
        <x:v>836185</x:v>
      </x:c>
      <x:c r="C33" s="19" t="n">
        <x:v>951389</x:v>
      </x:c>
      <x:c r="D33" s="19" t="n">
        <x:f>IF(OR(B33="",C33=""),"",B33-C33)</x:f>
        <x:v>-115204</x:v>
      </x:c>
      <x:c r="E33" s="20" t="n">
        <x:f>IFERROR(B33/C33-1,"")</x:f>
        <x:v>-0.12109032162448796</x:v>
      </x:c>
      <x:c r="F33" s="38" t="str">
        <x:v>PDF p11</x:v>
      </x:c>
    </x:row>
    <x:row r="34">
      <x:c r="A34" t="str">
        <x:v>客户合约收入</x:v>
      </x:c>
      <x:c r="B34" s="19" t="n">
        <x:v>9847714</x:v>
      </x:c>
      <x:c r="C34" s="19" t="n">
        <x:v>9264095</x:v>
      </x:c>
      <x:c r="D34" s="19" t="n">
        <x:f>IF(OR(B34="",C34=""),"",B34-C34)</x:f>
        <x:v>583619</x:v>
      </x:c>
      <x:c r="E34" s="20" t="n">
        <x:f>IFERROR(B34/C34-1,"")</x:f>
        <x:v>0.06299795069027248</x:v>
      </x:c>
      <x:c r="F34" s="38" t="str">
        <x:v>PDF p10-p11</x:v>
      </x:c>
    </x:row>
    <x:row r="35">
      <x:c r="A35" t="str">
        <x:v>投资物业租金收入</x:v>
      </x:c>
      <x:c r="B35" s="19" t="n">
        <x:v>23142</x:v>
      </x:c>
      <x:c r="C35" s="19" t="n">
        <x:v>24616</x:v>
      </x:c>
      <x:c r="D35" s="19" t="n">
        <x:f>IF(OR(B35="",C35=""),"",B35-C35)</x:f>
        <x:v>-1474</x:v>
      </x:c>
      <x:c r="E35" s="20" t="n">
        <x:f>IFERROR(B35/C35-1,"")</x:f>
        <x:v>-0.059879753006174874</x:v>
      </x:c>
      <x:c r="F35" s="38" t="str">
        <x:v>PDF p10</x:v>
      </x:c>
    </x:row>
    <x:row r="36">
      <x:c r="A36" s="33" t="str">
        <x:v>收入合计</x:v>
      </x:c>
      <x:c r="B36" s="34" t="n">
        <x:v>9870856</x:v>
      </x:c>
      <x:c r="C36" s="34" t="n">
        <x:v>9288711</x:v>
      </x:c>
      <x:c r="D36" s="34" t="n">
        <x:f>IF(OR(B36="",C36=""),"",B36-C36)</x:f>
        <x:v>582145</x:v>
      </x:c>
      <x:c r="E36" s="35" t="n">
        <x:f>IFERROR(B36/C36-1,"")</x:f>
        <x:v>0.06267231265995887</x:v>
      </x:c>
      <x:c r="F36" s="39" t="str">
        <x:v>PDF p10</x:v>
      </x:c>
      <x:c r="G36" s="33"/>
      <x:c r="H36" s="33"/>
      <x:c r="I36" s="33"/>
      <x:c r="J36" s="33"/>
    </x:row>
  </x:sheetData>
  <x:mergeCells>
    <x:mergeCell ref="A1:J1"/>
    <x:mergeCell ref="A2:J2"/>
    <x:mergeCell ref="A13:J13"/>
    <x:mergeCell ref="A29:J29"/>
  </x:mergeCells>
  <x:pageMargins left="0.7" right="0.7" top="0.75" bottom="0.75" header="0.3" footer="0.3"/>
  <x:legacyDrawing xmlns:r="http://schemas.openxmlformats.org/officeDocument/2006/relationships" r:id="R0cda650c586e488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4" hidden="0" customWidth="1"/>
    <x:col min="10" max="10" width="14" hidden="0" customWidth="1"/>
  </x:cols>
  <x:sheetData>
    <x:row r="1" ht="30" customHeight="1">
      <x:c r="A1" s="3" t="str">
        <x:v>区域分部收入与利润</x:v>
      </x:c>
      <x:c r="B1" s="3" t="str">
        <x:v>区域分部收入与利润</x:v>
      </x:c>
      <x:c r="C1" s="3" t="str">
        <x:v>区域分部收入与利润</x:v>
      </x:c>
      <x:c r="D1" s="3" t="str">
        <x:v>区域分部收入与利润</x:v>
      </x:c>
      <x:c r="E1" s="3" t="str">
        <x:v>区域分部收入与利润</x:v>
      </x:c>
      <x:c r="F1" s="3" t="str">
        <x:v>区域分部收入与利润</x:v>
      </x:c>
      <x:c r="G1" s="3" t="str">
        <x:v>区域分部收入与利润</x:v>
      </x:c>
      <x:c r="H1" s="3" t="str">
        <x:v>区域分部收入与利润</x:v>
      </x:c>
      <x:c r="I1" s="3" t="str">
        <x:v>区域分部收入与利润</x:v>
      </x:c>
      <x:c r="J1" s="3" t="str">
        <x:v>区域分部收入与利润</x:v>
      </x:c>
    </x:row>
    <x:row r="2" ht="26" customHeight="1">
      <x:c r="A2" s="6" t="str">
        <x:v>2025H1比较数已按公告重新分类 | 人民币千元 | 分部利润为管理层考核口径</x:v>
      </x:c>
      <x:c r="B2" s="6" t="str">
        <x:v>2025H1比较数已按公告重新分类 | 人民币千元 | 分部利润为管理层考核口径</x:v>
      </x:c>
      <x:c r="C2" s="6" t="str">
        <x:v>2025H1比较数已按公告重新分类 | 人民币千元 | 分部利润为管理层考核口径</x:v>
      </x:c>
      <x:c r="D2" s="6" t="str">
        <x:v>2025H1比较数已按公告重新分类 | 人民币千元 | 分部利润为管理层考核口径</x:v>
      </x:c>
      <x:c r="E2" s="6" t="str">
        <x:v>2025H1比较数已按公告重新分类 | 人民币千元 | 分部利润为管理层考核口径</x:v>
      </x:c>
      <x:c r="F2" s="6" t="str">
        <x:v>2025H1比较数已按公告重新分类 | 人民币千元 | 分部利润为管理层考核口径</x:v>
      </x:c>
      <x:c r="G2" s="6" t="str">
        <x:v>2025H1比较数已按公告重新分类 | 人民币千元 | 分部利润为管理层考核口径</x:v>
      </x:c>
      <x:c r="H2" s="6" t="str">
        <x:v>2025H1比较数已按公告重新分类 | 人民币千元 | 分部利润为管理层考核口径</x:v>
      </x:c>
      <x:c r="I2" s="6" t="str">
        <x:v>2025H1比较数已按公告重新分类 | 人民币千元 | 分部利润为管理层考核口径</x:v>
      </x:c>
      <x:c r="J2" s="6" t="str">
        <x:v>2025H1比较数已按公告重新分类 | 人民币千元 | 分部利润为管理层考核口径</x:v>
      </x:c>
    </x:row>
    <x:row r="5" ht="28" customHeight="1">
      <x:c r="A5" s="18" t="str">
        <x:v>区域</x:v>
      </x:c>
      <x:c r="B5" s="18" t="str">
        <x:v>2026外部收入</x:v>
      </x:c>
      <x:c r="C5" s="18" t="str">
        <x:v>2025外部收入</x:v>
      </x:c>
      <x:c r="D5" s="18" t="str">
        <x:v>收入增长</x:v>
      </x:c>
      <x:c r="E5" s="18" t="str">
        <x:v>2026分部间收入</x:v>
      </x:c>
      <x:c r="F5" s="18" t="str">
        <x:v>2025分部间收入</x:v>
      </x:c>
      <x:c r="G5" s="18" t="str">
        <x:v>2026分部利润</x:v>
      </x:c>
      <x:c r="H5" s="18" t="str">
        <x:v>2025分部利润</x:v>
      </x:c>
      <x:c r="I5" s="18" t="str">
        <x:v>2026利润率</x:v>
      </x:c>
      <x:c r="J5" s="18" t="str">
        <x:v>来源</x:v>
      </x:c>
    </x:row>
    <x:row r="7">
      <x:c r="A7" t="str">
        <x:v>杭州</x:v>
      </x:c>
      <x:c r="B7" s="19" t="n">
        <x:v>3068102</x:v>
      </x:c>
      <x:c r="C7" s="19" t="n">
        <x:v>2885827</x:v>
      </x:c>
      <x:c r="D7" s="20" t="n">
        <x:f>B7/C7-1</x:f>
        <x:v>0.0631621368848514</x:v>
      </x:c>
      <x:c r="E7" s="19" t="n">
        <x:v>90290</x:v>
      </x:c>
      <x:c r="F7" s="19" t="n">
        <x:v>87213</x:v>
      </x:c>
      <x:c r="G7" s="19" t="n">
        <x:v>246017</x:v>
      </x:c>
      <x:c r="H7" s="19" t="n">
        <x:v>164622</x:v>
      </x:c>
      <x:c r="I7" s="20" t="n">
        <x:f>G7/B7</x:f>
        <x:v>0.08018540452696814</x:v>
      </x:c>
      <x:c r="J7" s="38" t="str">
        <x:v>PDF p13</x:v>
      </x:c>
    </x:row>
    <x:row r="8">
      <x:c r="A8" t="str">
        <x:v>长三角（不包括宁波）</x:v>
      </x:c>
      <x:c r="B8" s="19" t="n">
        <x:v>3014992</x:v>
      </x:c>
      <x:c r="C8" s="19" t="n">
        <x:v>2843728</x:v>
      </x:c>
      <x:c r="D8" s="20" t="n">
        <x:f>B8/C8-1</x:f>
        <x:v>0.060225169214495944</x:v>
      </x:c>
      <x:c r="E8" s="19" t="n">
        <x:v>6374</x:v>
      </x:c>
      <x:c r="F8" s="19" t="n">
        <x:v>6270</x:v>
      </x:c>
      <x:c r="G8" s="19" t="n">
        <x:v>380203</x:v>
      </x:c>
      <x:c r="H8" s="19" t="n">
        <x:v>326643</x:v>
      </x:c>
      <x:c r="I8" s="20" t="n">
        <x:f>G8/B8</x:f>
        <x:v>0.12610414886673</x:v>
      </x:c>
      <x:c r="J8" s="38" t="str">
        <x:v>PDF p13</x:v>
      </x:c>
    </x:row>
    <x:row r="9">
      <x:c r="A9" t="str">
        <x:v>宁波</x:v>
      </x:c>
      <x:c r="B9" s="19" t="n">
        <x:v>601839</x:v>
      </x:c>
      <x:c r="C9" s="19" t="n">
        <x:v>581885</x:v>
      </x:c>
      <x:c r="D9" s="20" t="n">
        <x:f>B9/C9-1</x:f>
        <x:v>0.03429199927820781</x:v>
      </x:c>
      <x:c r="E9" s="19" t="n">
        <x:v>176</x:v>
      </x:c>
      <x:c r="F9" s="19" t="n">
        <x:v>72</x:v>
      </x:c>
      <x:c r="G9" s="19" t="n">
        <x:v>57274</x:v>
      </x:c>
      <x:c r="H9" s="19" t="n">
        <x:v>52120</x:v>
      </x:c>
      <x:c r="I9" s="20" t="n">
        <x:f>G9/B9</x:f>
        <x:v>0.09516498598462379</x:v>
      </x:c>
      <x:c r="J9" s="38" t="str">
        <x:v>PDF p13</x:v>
      </x:c>
    </x:row>
    <x:row r="10">
      <x:c r="A10" t="str">
        <x:v>珠三角</x:v>
      </x:c>
      <x:c r="B10" s="19" t="n">
        <x:v>637836</x:v>
      </x:c>
      <x:c r="C10" s="19" t="n">
        <x:v>615601</x:v>
      </x:c>
      <x:c r="D10" s="20" t="n">
        <x:f>B10/C10-1</x:f>
        <x:v>0.03611917459523295</x:v>
      </x:c>
      <x:c r="E10" s="19" t="n">
        <x:v>392</x:v>
      </x:c>
      <x:c r="F10" s="19" t="n">
        <x:v>5013</x:v>
      </x:c>
      <x:c r="G10" s="19" t="n">
        <x:v>91323</x:v>
      </x:c>
      <x:c r="H10" s="19" t="n">
        <x:v>116012</x:v>
      </x:c>
      <x:c r="I10" s="20" t="n">
        <x:f>G10/B10</x:f>
        <x:v>0.14317630237239667</x:v>
      </x:c>
      <x:c r="J10" s="38" t="str">
        <x:v>PDF p13</x:v>
      </x:c>
    </x:row>
    <x:row r="11">
      <x:c r="A11" t="str">
        <x:v>环渤海经济圈</x:v>
      </x:c>
      <x:c r="B11" s="19" t="n">
        <x:v>1295342</x:v>
      </x:c>
      <x:c r="C11" s="19" t="n">
        <x:v>1217096</x:v>
      </x:c>
      <x:c r="D11" s="20" t="n">
        <x:f>B11/C11-1</x:f>
        <x:v>0.06428909469754229</x:v>
      </x:c>
      <x:c r="E11" s="19" t="n">
        <x:v>2320</x:v>
      </x:c>
      <x:c r="F11" s="19" t="n">
        <x:v>126</x:v>
      </x:c>
      <x:c r="G11" s="19" t="n">
        <x:v>128992</x:v>
      </x:c>
      <x:c r="H11" s="19" t="n">
        <x:v>99947</x:v>
      </x:c>
      <x:c r="I11" s="20" t="n">
        <x:f>G11/B11</x:f>
        <x:v>0.09958142328435271</x:v>
      </x:c>
      <x:c r="J11" s="38" t="str">
        <x:v>PDF p13</x:v>
      </x:c>
    </x:row>
    <x:row r="12">
      <x:c r="A12" t="str">
        <x:v>其他海外和香港</x:v>
      </x:c>
      <x:c r="B12" s="19" t="n">
        <x:v>9226</x:v>
      </x:c>
      <x:c r="C12" s="19" t="n">
        <x:v>6192</x:v>
      </x:c>
      <x:c r="D12" s="20" t="n">
        <x:f>B12/C12-1</x:f>
        <x:v>0.48998708010335923</x:v>
      </x:c>
      <x:c r="E12" s="19" t="n">
        <x:v>0</x:v>
      </x:c>
      <x:c r="F12" s="19" t="n">
        <x:v>0</x:v>
      </x:c>
      <x:c r="G12" s="19" t="n">
        <x:v>-62111</x:v>
      </x:c>
      <x:c r="H12" s="19" t="n">
        <x:v>-34839</x:v>
      </x:c>
      <x:c r="I12" s="20" t="n">
        <x:f>G12/B12</x:f>
        <x:v>-6.73216995447648</x:v>
      </x:c>
      <x:c r="J12" s="38" t="str">
        <x:v>PDF p13</x:v>
      </x:c>
    </x:row>
    <x:row r="13">
      <x:c r="A13" t="str">
        <x:v>中国大陆其他地区</x:v>
      </x:c>
      <x:c r="B13" s="19" t="n">
        <x:v>1243519</x:v>
      </x:c>
      <x:c r="C13" s="19" t="n">
        <x:v>1138382</x:v>
      </x:c>
      <x:c r="D13" s="20" t="n">
        <x:f>B13/C13-1</x:f>
        <x:v>0.09235652004335981</x:v>
      </x:c>
      <x:c r="E13" s="19" t="n">
        <x:v>18724</x:v>
      </x:c>
      <x:c r="F13" s="19" t="n">
        <x:v>8477</x:v>
      </x:c>
      <x:c r="G13" s="19" t="n">
        <x:v>198195</x:v>
      </x:c>
      <x:c r="H13" s="19" t="n">
        <x:v>145441</x:v>
      </x:c>
      <x:c r="I13" s="20" t="n">
        <x:f>G13/B13</x:f>
        <x:v>0.15938236568962758</x:v>
      </x:c>
      <x:c r="J13" s="38" t="str">
        <x:v>PDF p13</x:v>
      </x:c>
    </x:row>
    <x:row r="14">
      <x:c r="A14" s="33" t="str">
        <x:v>分部合计</x:v>
      </x:c>
      <x:c r="B14" s="34" t="n">
        <x:v>9870856</x:v>
      </x:c>
      <x:c r="C14" s="34" t="n">
        <x:v>9288711</x:v>
      </x:c>
      <x:c r="D14" s="35" t="n">
        <x:f>B14/C14-1</x:f>
        <x:v>0.06267231265995887</x:v>
      </x:c>
      <x:c r="E14" s="34" t="n">
        <x:v>118276</x:v>
      </x:c>
      <x:c r="F14" s="34" t="n">
        <x:v>107171</x:v>
      </x:c>
      <x:c r="G14" s="34" t="n">
        <x:v>1039893</x:v>
      </x:c>
      <x:c r="H14" s="34" t="n">
        <x:v>869946</x:v>
      </x:c>
      <x:c r="I14" s="35" t="n">
        <x:f>G14/B14</x:f>
        <x:v>0.10534982984251821</x:v>
      </x:c>
      <x:c r="J14" s="39" t="str">
        <x:v>PDF p13</x:v>
      </x:c>
    </x:row>
    <x:row r="17" ht="22" customHeight="1">
      <x:c r="A17" s="13" t="str">
        <x:v>分部利润对账</x:v>
      </x:c>
      <x:c r="B17" s="13" t="str">
        <x:v>分部利润对账</x:v>
      </x:c>
      <x:c r="C17" s="13" t="str">
        <x:v>分部利润对账</x:v>
      </x:c>
      <x:c r="D17" s="13" t="str">
        <x:v>分部利润对账</x:v>
      </x:c>
      <x:c r="E17" s="13" t="str">
        <x:v>分部利润对账</x:v>
      </x:c>
      <x:c r="F17" s="13" t="str">
        <x:v>分部利润对账</x:v>
      </x:c>
      <x:c r="G17" s="13" t="str">
        <x:v>分部利润对账</x:v>
      </x:c>
      <x:c r="H17" s="13" t="str">
        <x:v>分部利润对账</x:v>
      </x:c>
      <x:c r="I17" s="13" t="str">
        <x:v>分部利润对账</x:v>
      </x:c>
      <x:c r="J17" s="13" t="str">
        <x:v>分部利润对账</x:v>
      </x:c>
    </x:row>
    <x:row r="18" ht="28" customHeight="1">
      <x:c r="A18" s="18" t="str">
        <x:v>项目</x:v>
      </x:c>
      <x:c r="B18" s="18" t="str">
        <x:v>2026H1</x:v>
      </x:c>
      <x:c r="C18" s="18" t="str">
        <x:v>2025H1</x:v>
      </x:c>
      <x:c r="D18" s="18" t="str">
        <x:v>变动额</x:v>
      </x:c>
      <x:c r="E18" s="18" t="str">
        <x:v>变动率</x:v>
      </x:c>
      <x:c r="F18" s="18" t="str">
        <x:v>来源</x:v>
      </x:c>
      <x:c r="G18" s="18" t="str"/>
      <x:c r="H18" s="18" t="str"/>
      <x:c r="I18" s="18" t="str"/>
      <x:c r="J18" s="18" t="str"/>
    </x:row>
    <x:row r="20">
      <x:c r="A20" t="str">
        <x:v>可呈报分部利润</x:v>
      </x:c>
      <x:c r="B20" s="19" t="n">
        <x:v>1039893</x:v>
      </x:c>
      <x:c r="C20" s="19" t="n">
        <x:v>869946</x:v>
      </x:c>
      <x:c r="D20" s="19" t="n">
        <x:f>IF(OR(B20="",C20=""),"",B20-C20)</x:f>
        <x:v>169947</x:v>
      </x:c>
      <x:c r="E20" s="20" t="n">
        <x:f>IFERROR(B20/C20-1,"")</x:f>
        <x:v>0.19535350470029167</x:v>
      </x:c>
      <x:c r="F20" s="38" t="str">
        <x:v>PDF p14</x:v>
      </x:c>
    </x:row>
    <x:row r="21">
      <x:c r="A21" t="str">
        <x:v>分部间利润抵销</x:v>
      </x:c>
      <x:c r="B21" s="19" t="n">
        <x:v>-25477</x:v>
      </x:c>
      <x:c r="C21" s="19" t="n">
        <x:v>-14176</x:v>
      </x:c>
      <x:c r="D21" s="19" t="n">
        <x:f>IF(OR(B21="",C21=""),"",B21-C21)</x:f>
        <x:v>-11301</x:v>
      </x:c>
      <x:c r="E21" s="20" t="n">
        <x:f>IFERROR(B21/C21-1,"")</x:f>
        <x:v>0.7971924379232507</x:v>
      </x:c>
      <x:c r="F21" s="38" t="str">
        <x:v>PDF p14</x:v>
      </x:c>
    </x:row>
    <x:row r="22">
      <x:c r="A22" s="33" t="str">
        <x:v>外部客户可呈报分部利润</x:v>
      </x:c>
      <x:c r="B22" s="34" t="n">
        <x:v>1014416</x:v>
      </x:c>
      <x:c r="C22" s="34" t="n">
        <x:v>855770</x:v>
      </x:c>
      <x:c r="D22" s="34" t="n">
        <x:f>IF(OR(B22="",C22=""),"",B22-C22)</x:f>
        <x:v>158646</x:v>
      </x:c>
      <x:c r="E22" s="35" t="n">
        <x:f>IFERROR(B22/C22-1,"")</x:f>
        <x:v>0.18538392325040598</x:v>
      </x:c>
      <x:c r="F22" s="39" t="str">
        <x:v>PDF p14</x:v>
      </x:c>
      <x:c r="G22" s="33"/>
      <x:c r="H22" s="33"/>
      <x:c r="I22" s="33"/>
      <x:c r="J22" s="33"/>
    </x:row>
    <x:row r="23">
      <x:c r="A23" s="33" t="str">
        <x:v>税前综合利润</x:v>
      </x:c>
      <x:c r="B23" s="34" t="n">
        <x:v>1014416</x:v>
      </x:c>
      <x:c r="C23" s="34" t="n">
        <x:v>855770</x:v>
      </x:c>
      <x:c r="D23" s="34" t="n">
        <x:f>IF(OR(B23="",C23=""),"",B23-C23)</x:f>
        <x:v>158646</x:v>
      </x:c>
      <x:c r="E23" s="35" t="n">
        <x:f>IFERROR(B23/C23-1,"")</x:f>
        <x:v>0.18538392325040598</x:v>
      </x:c>
      <x:c r="F23" s="39" t="str">
        <x:v>PDF p14</x:v>
      </x:c>
      <x:c r="G23" s="33"/>
      <x:c r="H23" s="33"/>
      <x:c r="I23" s="33"/>
      <x:c r="J23" s="33"/>
    </x:row>
  </x:sheetData>
  <x:mergeCells>
    <x:mergeCell ref="A1:J1"/>
    <x:mergeCell ref="A2:J2"/>
    <x:mergeCell ref="A17:J17"/>
  </x:mergeCells>
  <x:pageMargins left="0.7" right="0.7" top="0.75" bottom="0.75" header="0.3" footer="0.3"/>
  <x:legacyDrawing xmlns:r="http://schemas.openxmlformats.org/officeDocument/2006/relationships" r:id="Ra21f7b08a5a044ac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22" hidden="0" customWidth="1"/>
    <x:col min="8" max="8" width="14" hidden="0" customWidth="1"/>
  </x:cols>
  <x:sheetData>
    <x:row r="1" ht="30" customHeight="1">
      <x:c r="A1" s="3" t="str">
        <x:v>经营与业务规模指标</x:v>
      </x:c>
      <x:c r="B1" s="3" t="str">
        <x:v>经营与业务规模指标</x:v>
      </x:c>
      <x:c r="C1" s="3" t="str">
        <x:v>经营与业务规模指标</x:v>
      </x:c>
      <x:c r="D1" s="3" t="str">
        <x:v>经营与业务规模指标</x:v>
      </x:c>
      <x:c r="E1" s="3" t="str">
        <x:v>经营与业务规模指标</x:v>
      </x:c>
      <x:c r="F1" s="3" t="str">
        <x:v>经营与业务规模指标</x:v>
      </x:c>
      <x:c r="G1" s="3" t="str">
        <x:v>经营与业务规模指标</x:v>
      </x:c>
      <x:c r="H1" s="3" t="str">
        <x:v>经营与业务规模指标</x:v>
      </x:c>
    </x:row>
    <x:row r="2" ht="26" customHeight="1">
      <x:c r="A2" s="6" t="str">
        <x:v>报告披露的原始经营数据；缺失比较数不作推断</x:v>
      </x:c>
      <x:c r="B2" s="6" t="str">
        <x:v>报告披露的原始经营数据；缺失比较数不作推断</x:v>
      </x:c>
      <x:c r="C2" s="6" t="str">
        <x:v>报告披露的原始经营数据；缺失比较数不作推断</x:v>
      </x:c>
      <x:c r="D2" s="6" t="str">
        <x:v>报告披露的原始经营数据；缺失比较数不作推断</x:v>
      </x:c>
      <x:c r="E2" s="6" t="str">
        <x:v>报告披露的原始经营数据；缺失比较数不作推断</x:v>
      </x:c>
      <x:c r="F2" s="6" t="str">
        <x:v>报告披露的原始经营数据；缺失比较数不作推断</x:v>
      </x:c>
      <x:c r="G2" s="6" t="str">
        <x:v>报告披露的原始经营数据；缺失比较数不作推断</x:v>
      </x:c>
      <x:c r="H2" s="6" t="str">
        <x:v>报告披露的原始经营数据；缺失比较数不作推断</x:v>
      </x:c>
    </x:row>
    <x:row r="5" ht="28" customHeight="1">
      <x:c r="A5" s="18" t="str">
        <x:v>主题</x:v>
      </x:c>
      <x:c r="B5" s="18" t="str">
        <x:v>指标</x:v>
      </x:c>
      <x:c r="C5" s="18" t="str">
        <x:v>2026H1/期末</x:v>
      </x:c>
      <x:c r="D5" s="18" t="str">
        <x:v>2025H1/期初</x:v>
      </x:c>
      <x:c r="E5" s="18" t="str">
        <x:v>变动额</x:v>
      </x:c>
      <x:c r="F5" s="18" t="str">
        <x:v>变动率</x:v>
      </x:c>
      <x:c r="G5" s="18" t="str">
        <x:v>单位</x:v>
      </x:c>
      <x:c r="H5" s="18" t="str">
        <x:v>来源</x:v>
      </x:c>
    </x:row>
    <x:row r="7">
      <x:c r="A7" t="str">
        <x:v>规模</x:v>
      </x:c>
      <x:c r="B7" t="str">
        <x:v>在管面积</x:v>
      </x:c>
      <x:c r="C7" s="47" t="n">
        <x:v>580.3</x:v>
      </x:c>
      <x:c r="D7" s="47" t="n">
        <x:v>536.3</x:v>
      </x:c>
      <x:c r="E7" s="47" t="n">
        <x:f>IF(OR(C7="",D7=""),"",C7-D7)</x:f>
        <x:v>44</x:v>
      </x:c>
      <x:c r="F7" s="20" t="n">
        <x:f>IFERROR(C7/D7-1,"")</x:f>
        <x:v>0.08204363229535705</x:v>
      </x:c>
      <x:c r="G7" t="str">
        <x:v>百万平方米</x:v>
      </x:c>
      <x:c r="H7" s="38" t="str">
        <x:v>PDF p33</x:v>
      </x:c>
    </x:row>
    <x:row r="8">
      <x:c r="A8" t="str">
        <x:v>规模</x:v>
      </x:c>
      <x:c r="B8" t="str">
        <x:v>储备面积</x:v>
      </x:c>
      <x:c r="C8" s="47" t="n">
        <x:v>325.6</x:v>
      </x:c>
      <x:c r="D8" s="47" t="n">
        <x:v>347.3</x:v>
      </x:c>
      <x:c r="E8" s="47" t="n">
        <x:f>IF(OR(C8="",D8=""),"",C8-D8)</x:f>
        <x:v>-21.69999999999999</x:v>
      </x:c>
      <x:c r="F8" s="20" t="n">
        <x:f>IFERROR(C8/D8-1,"")</x:f>
        <x:v>-0.06248200403109705</x:v>
      </x:c>
      <x:c r="G8" t="str">
        <x:v>百万平方米</x:v>
      </x:c>
      <x:c r="H8" s="38" t="str">
        <x:v>PDF p34</x:v>
      </x:c>
    </x:row>
    <x:row r="9">
      <x:c r="A9" t="str">
        <x:v>规模</x:v>
      </x:c>
      <x:c r="B9" t="str">
        <x:v>在管项目</x:v>
      </x:c>
      <x:c r="C9" s="47" t="n">
        <x:v>3882</x:v>
      </x:c>
      <x:c r="D9" s="47"/>
      <x:c r="E9" s="47" t="str">
        <x:f>IF(OR(C9="",D9=""),"",C9-D9)</x:f>
      </x:c>
      <x:c r="F9" s="20" t="str">
        <x:f>IFERROR(C9/D9-1,"")</x:f>
      </x:c>
      <x:c r="G9" t="str">
        <x:v>个</x:v>
      </x:c>
      <x:c r="H9" s="38" t="str">
        <x:v>PDF p34</x:v>
      </x:c>
    </x:row>
    <x:row r="10">
      <x:c r="A10" t="str">
        <x:v>覆盖</x:v>
      </x:c>
      <x:c r="B10" t="str">
        <x:v>省/直辖市/自治区</x:v>
      </x:c>
      <x:c r="C10" s="47" t="n">
        <x:v>31</x:v>
      </x:c>
      <x:c r="D10" s="47"/>
      <x:c r="E10" s="47" t="str">
        <x:f>IF(OR(C10="",D10=""),"",C10-D10)</x:f>
      </x:c>
      <x:c r="F10" s="20" t="str">
        <x:f>IFERROR(C10/D10-1,"")</x:f>
      </x:c>
      <x:c r="G10" t="str">
        <x:v>个</x:v>
      </x:c>
      <x:c r="H10" s="38" t="str">
        <x:v>PDF p34</x:v>
      </x:c>
    </x:row>
    <x:row r="11">
      <x:c r="A11" t="str">
        <x:v>覆盖</x:v>
      </x:c>
      <x:c r="B11" t="str">
        <x:v>城市</x:v>
      </x:c>
      <x:c r="C11" s="47" t="n">
        <x:v>194</x:v>
      </x:c>
      <x:c r="D11" s="47"/>
      <x:c r="E11" s="47" t="str">
        <x:f>IF(OR(C11="",D11=""),"",C11-D11)</x:f>
      </x:c>
      <x:c r="F11" s="20" t="str">
        <x:f>IFERROR(C11/D11-1,"")</x:f>
      </x:c>
      <x:c r="G11" t="str">
        <x:v>个</x:v>
      </x:c>
      <x:c r="H11" s="38" t="str">
        <x:v>PDF p34</x:v>
      </x:c>
    </x:row>
    <x:row r="12">
      <x:c r="A12" t="str">
        <x:v>区域</x:v>
      </x:c>
      <x:c r="B12" t="str">
        <x:v>杭州在管面积占比</x:v>
      </x:c>
      <x:c r="C12" s="20" t="n">
        <x:v>0.16</x:v>
      </x:c>
      <x:c r="D12" s="20" t="n">
        <x:v>0.167</x:v>
      </x:c>
      <x:c r="E12" s="20" t="n">
        <x:f>IF(OR(C12="",D12=""),"",C12-D12)</x:f>
        <x:v>-0.007000000000000006</x:v>
      </x:c>
      <x:c r="F12" s="20" t="n">
        <x:f>IFERROR(C12/D12-1,"")</x:f>
        <x:v>-0.041916167664670656</x:v>
      </x:c>
      <x:c r="G12" t="str">
        <x:v>%</x:v>
      </x:c>
      <x:c r="H12" s="38" t="str">
        <x:v>PDF p34</x:v>
      </x:c>
    </x:row>
    <x:row r="13">
      <x:c r="A13" t="str">
        <x:v>区域</x:v>
      </x:c>
      <x:c r="B13" t="str">
        <x:v>宁波在管面积占比</x:v>
      </x:c>
      <x:c r="C13" s="20" t="n">
        <x:v>0.068</x:v>
      </x:c>
      <x:c r="D13" s="20" t="n">
        <x:v>0.07</x:v>
      </x:c>
      <x:c r="E13" s="20" t="n">
        <x:f>IF(OR(C13="",D13=""),"",C13-D13)</x:f>
        <x:v>-0.0020000000000000018</x:v>
      </x:c>
      <x:c r="F13" s="20" t="n">
        <x:f>IFERROR(C13/D13-1,"")</x:f>
        <x:v>-0.02857142857142858</x:v>
      </x:c>
      <x:c r="G13" t="str">
        <x:v>%</x:v>
      </x:c>
      <x:c r="H13" s="38" t="str">
        <x:v>PDF p34</x:v>
      </x:c>
    </x:row>
    <x:row r="14">
      <x:c r="A14" t="str">
        <x:v>区域</x:v>
      </x:c>
      <x:c r="B14" t="str">
        <x:v>长三角（杭甬外）在管面积占比</x:v>
      </x:c>
      <x:c r="C14" s="20" t="n">
        <x:v>0.361</x:v>
      </x:c>
      <x:c r="D14" s="20" t="n">
        <x:v>0.351</x:v>
      </x:c>
      <x:c r="E14" s="20" t="n">
        <x:f>IF(OR(C14="",D14=""),"",C14-D14)</x:f>
        <x:v>0.010000000000000009</x:v>
      </x:c>
      <x:c r="F14" s="20" t="n">
        <x:f>IFERROR(C14/D14-1,"")</x:f>
        <x:v>0.028490028490028463</x:v>
      </x:c>
      <x:c r="G14" t="str">
        <x:v>%</x:v>
      </x:c>
      <x:c r="H14" s="38" t="str">
        <x:v>PDF p34</x:v>
      </x:c>
    </x:row>
    <x:row r="15">
      <x:c r="A15" t="str">
        <x:v>区域</x:v>
      </x:c>
      <x:c r="B15" t="str">
        <x:v>环渤海在管面积占比</x:v>
      </x:c>
      <x:c r="C15" s="20" t="n">
        <x:v>0.157</x:v>
      </x:c>
      <x:c r="D15" s="20" t="n">
        <x:v>0.156</x:v>
      </x:c>
      <x:c r="E15" s="20" t="n">
        <x:f>IF(OR(C15="",D15=""),"",C15-D15)</x:f>
        <x:v>0.0010000000000000009</x:v>
      </x:c>
      <x:c r="F15" s="20" t="n">
        <x:f>IFERROR(C15/D15-1,"")</x:f>
        <x:v>0.0064102564102563875</x:v>
      </x:c>
      <x:c r="G15" t="str">
        <x:v>%</x:v>
      </x:c>
      <x:c r="H15" s="38" t="str">
        <x:v>PDF p34</x:v>
      </x:c>
    </x:row>
    <x:row r="16">
      <x:c r="A16" t="str">
        <x:v>区域</x:v>
      </x:c>
      <x:c r="B16" t="str">
        <x:v>珠三角在管面积占比</x:v>
      </x:c>
      <x:c r="C16" s="20" t="n">
        <x:v>0.093</x:v>
      </x:c>
      <x:c r="D16" s="20" t="n">
        <x:v>0.092</x:v>
      </x:c>
      <x:c r="E16" s="20" t="n">
        <x:f>IF(OR(C16="",D16=""),"",C16-D16)</x:f>
        <x:v>0.0010000000000000009</x:v>
      </x:c>
      <x:c r="F16" s="20" t="n">
        <x:f>IFERROR(C16/D16-1,"")</x:f>
        <x:v>0.010869565217391353</x:v>
      </x:c>
      <x:c r="G16" t="str">
        <x:v>%</x:v>
      </x:c>
      <x:c r="H16" s="38" t="str">
        <x:v>PDF p34</x:v>
      </x:c>
    </x:row>
    <x:row r="17">
      <x:c r="A17" t="str">
        <x:v>区域</x:v>
      </x:c>
      <x:c r="B17" t="str">
        <x:v>其他区域在管面积占比</x:v>
      </x:c>
      <x:c r="C17" s="20" t="n">
        <x:v>0.161</x:v>
      </x:c>
      <x:c r="D17" s="20" t="n">
        <x:v>0.164</x:v>
      </x:c>
      <x:c r="E17" s="20" t="n">
        <x:f>IF(OR(C17="",D17=""),"",C17-D17)</x:f>
        <x:v>-0.0030000000000000027</x:v>
      </x:c>
      <x:c r="F17" s="20" t="n">
        <x:f>IFERROR(C17/D17-1,"")</x:f>
        <x:v>-0.018292682926829285</x:v>
      </x:c>
      <x:c r="G17" t="str">
        <x:v>%</x:v>
      </x:c>
      <x:c r="H17" s="38" t="str">
        <x:v>PDF p34</x:v>
      </x:c>
    </x:row>
    <x:row r="18">
      <x:c r="A18" t="str">
        <x:v>区域</x:v>
      </x:c>
      <x:c r="B18" t="str">
        <x:v>杭州收入占比</x:v>
      </x:c>
      <x:c r="C18" s="20" t="n">
        <x:v>0.311</x:v>
      </x:c>
      <x:c r="D18" s="20" t="n">
        <x:v>0.311</x:v>
      </x:c>
      <x:c r="E18" s="20" t="n">
        <x:f>IF(OR(C18="",D18=""),"",C18-D18)</x:f>
        <x:v>0</x:v>
      </x:c>
      <x:c r="F18" s="20" t="n">
        <x:f>IFERROR(C18/D18-1,"")</x:f>
        <x:v>0</x:v>
      </x:c>
      <x:c r="G18" t="str">
        <x:v>%</x:v>
      </x:c>
      <x:c r="H18" s="38" t="str">
        <x:v>PDF p34</x:v>
      </x:c>
    </x:row>
    <x:row r="19">
      <x:c r="A19" t="str">
        <x:v>区域</x:v>
      </x:c>
      <x:c r="B19" t="str">
        <x:v>宁波收入占比</x:v>
      </x:c>
      <x:c r="C19" s="20" t="n">
        <x:v>0.061</x:v>
      </x:c>
      <x:c r="D19" s="20" t="n">
        <x:v>0.063</x:v>
      </x:c>
      <x:c r="E19" s="20" t="n">
        <x:f>IF(OR(C19="",D19=""),"",C19-D19)</x:f>
        <x:v>-0.0020000000000000018</x:v>
      </x:c>
      <x:c r="F19" s="20" t="n">
        <x:f>IFERROR(C19/D19-1,"")</x:f>
        <x:v>-0.031746031746031744</x:v>
      </x:c>
      <x:c r="G19" t="str">
        <x:v>%</x:v>
      </x:c>
      <x:c r="H19" s="38" t="str">
        <x:v>PDF p34</x:v>
      </x:c>
    </x:row>
    <x:row r="20">
      <x:c r="A20" t="str">
        <x:v>区域</x:v>
      </x:c>
      <x:c r="B20" t="str">
        <x:v>长三角（杭甬外）收入占比</x:v>
      </x:c>
      <x:c r="C20" s="20" t="n">
        <x:v>0.305</x:v>
      </x:c>
      <x:c r="D20" s="20" t="n">
        <x:v>0.306</x:v>
      </x:c>
      <x:c r="E20" s="20" t="n">
        <x:f>IF(OR(C20="",D20=""),"",C20-D20)</x:f>
        <x:v>-0.0010000000000000009</x:v>
      </x:c>
      <x:c r="F20" s="20" t="n">
        <x:f>IFERROR(C20/D20-1,"")</x:f>
        <x:v>-0.0032679738562091387</x:v>
      </x:c>
      <x:c r="G20" t="str">
        <x:v>%</x:v>
      </x:c>
      <x:c r="H20" s="38" t="str">
        <x:v>PDF p34</x:v>
      </x:c>
    </x:row>
    <x:row r="21">
      <x:c r="A21" t="str">
        <x:v>区域</x:v>
      </x:c>
      <x:c r="B21" t="str">
        <x:v>环渤海收入占比</x:v>
      </x:c>
      <x:c r="C21" s="20" t="n">
        <x:v>0.131</x:v>
      </x:c>
      <x:c r="D21" s="20" t="n">
        <x:v>0.131</x:v>
      </x:c>
      <x:c r="E21" s="20" t="n">
        <x:f>IF(OR(C21="",D21=""),"",C21-D21)</x:f>
        <x:v>0</x:v>
      </x:c>
      <x:c r="F21" s="20" t="n">
        <x:f>IFERROR(C21/D21-1,"")</x:f>
        <x:v>0</x:v>
      </x:c>
      <x:c r="G21" t="str">
        <x:v>%</x:v>
      </x:c>
      <x:c r="H21" s="38" t="str">
        <x:v>PDF p34</x:v>
      </x:c>
    </x:row>
    <x:row r="22">
      <x:c r="A22" t="str">
        <x:v>区域</x:v>
      </x:c>
      <x:c r="B22" t="str">
        <x:v>珠三角收入占比</x:v>
      </x:c>
      <x:c r="C22" s="20" t="n">
        <x:v>0.065</x:v>
      </x:c>
      <x:c r="D22" s="20" t="n">
        <x:v>0.066</x:v>
      </x:c>
      <x:c r="E22" s="20" t="n">
        <x:f>IF(OR(C22="",D22=""),"",C22-D22)</x:f>
        <x:v>-0.0010000000000000009</x:v>
      </x:c>
      <x:c r="F22" s="20" t="n">
        <x:f>IFERROR(C22/D22-1,"")</x:f>
        <x:v>-0.015151515151515138</x:v>
      </x:c>
      <x:c r="G22" t="str">
        <x:v>%</x:v>
      </x:c>
      <x:c r="H22" s="38" t="str">
        <x:v>PDF p34</x:v>
      </x:c>
    </x:row>
    <x:row r="23">
      <x:c r="A23" t="str">
        <x:v>区域</x:v>
      </x:c>
      <x:c r="B23" t="str">
        <x:v>其他区域收入占比</x:v>
      </x:c>
      <x:c r="C23" s="20" t="n">
        <x:v>0.127</x:v>
      </x:c>
      <x:c r="D23" s="20" t="n">
        <x:v>0.123</x:v>
      </x:c>
      <x:c r="E23" s="20" t="n">
        <x:f>IF(OR(C23="",D23=""),"",C23-D23)</x:f>
        <x:v>0.0040000000000000036</x:v>
      </x:c>
      <x:c r="F23" s="20" t="n">
        <x:f>IFERROR(C23/D23-1,"")</x:f>
        <x:v>0.03252032520325199</x:v>
      </x:c>
      <x:c r="G23" t="str">
        <x:v>%</x:v>
      </x:c>
      <x:c r="H23" s="38" t="str">
        <x:v>PDF p34</x:v>
      </x:c>
    </x:row>
    <x:row r="24">
      <x:c r="A24" t="str">
        <x:v>人力</x:v>
      </x:c>
      <x:c r="B24" t="str">
        <x:v>员工人数</x:v>
      </x:c>
      <x:c r="C24" s="47" t="n">
        <x:v>51715</x:v>
      </x:c>
      <x:c r="D24" s="47"/>
      <x:c r="E24" s="47" t="str">
        <x:f>IF(OR(C24="",D24=""),"",C24-D24)</x:f>
      </x:c>
      <x:c r="F24" s="20" t="str">
        <x:f>IFERROR(C24/D24-1,"")</x:f>
      </x:c>
      <x:c r="G24" t="str">
        <x:v>人</x:v>
      </x:c>
      <x:c r="H24" s="38" t="str">
        <x:v>PDF p41</x:v>
      </x:c>
    </x:row>
    <x:row r="25">
      <x:c r="A25" t="str">
        <x:v>人力</x:v>
      </x:c>
      <x:c r="B25" t="str">
        <x:v>员工成本</x:v>
      </x:c>
      <x:c r="C25" s="47" t="n">
        <x:v>3186831</x:v>
      </x:c>
      <x:c r="D25" s="47" t="n">
        <x:v>3028447</x:v>
      </x:c>
      <x:c r="E25" s="47" t="n">
        <x:f>IF(OR(C25="",D25=""),"",C25-D25)</x:f>
        <x:v>158384</x:v>
      </x:c>
      <x:c r="F25" s="20" t="n">
        <x:f>IFERROR(C25/D25-1,"")</x:f>
        <x:v>0.05229875246289595</x:v>
      </x:c>
      <x:c r="G25" t="str">
        <x:v>人民币千元</x:v>
      </x:c>
      <x:c r="H25" s="38" t="str">
        <x:v>PDF p15/p41</x:v>
      </x:c>
    </x:row>
    <x:row r="26">
      <x:c r="A26" t="str">
        <x:v>资本市场</x:v>
      </x:c>
      <x:c r="B26" t="str">
        <x:v>期内回购股份</x:v>
      </x:c>
      <x:c r="C26" s="47" t="n">
        <x:v>11742000</x:v>
      </x:c>
      <x:c r="D26" s="47"/>
      <x:c r="E26" s="47" t="str">
        <x:f>IF(OR(C26="",D26=""),"",C26-D26)</x:f>
      </x:c>
      <x:c r="F26" s="20" t="str">
        <x:f>IFERROR(C26/D26-1,"")</x:f>
      </x:c>
      <x:c r="G26" t="str">
        <x:v>股</x:v>
      </x:c>
      <x:c r="H26" s="38" t="str">
        <x:v>PDF p43</x:v>
      </x:c>
    </x:row>
    <x:row r="27">
      <x:c r="A27" t="str">
        <x:v>资本市场</x:v>
      </x:c>
      <x:c r="B27" t="str">
        <x:v>回购股份付款</x:v>
      </x:c>
      <x:c r="C27" s="47" t="n">
        <x:v>44768</x:v>
      </x:c>
      <x:c r="D27" s="47"/>
      <x:c r="E27" s="47" t="str">
        <x:f>IF(OR(C27="",D27=""),"",C27-D27)</x:f>
      </x:c>
      <x:c r="F27" s="20" t="str">
        <x:f>IFERROR(C27/D27-1,"")</x:f>
      </x:c>
      <x:c r="G27" t="str">
        <x:v>人民币千元</x:v>
      </x:c>
      <x:c r="H27" s="38" t="str">
        <x:v>PDF p22</x:v>
      </x:c>
    </x:row>
    <x:row r="28">
      <x:c r="A28" t="str">
        <x:v>资本市场</x:v>
      </x:c>
      <x:c r="B28" t="str">
        <x:v>期末库存股</x:v>
      </x:c>
      <x:c r="C28" s="47" t="n">
        <x:v>26518000</x:v>
      </x:c>
      <x:c r="D28" s="47" t="n">
        <x:v>14776000</x:v>
      </x:c>
      <x:c r="E28" s="47" t="n">
        <x:f>IF(OR(C28="",D28=""),"",C28-D28)</x:f>
        <x:v>11742000</x:v>
      </x:c>
      <x:c r="F28" s="20" t="n">
        <x:f>IFERROR(C28/D28-1,"")</x:f>
        <x:v>0.7946670276123444</x:v>
      </x:c>
      <x:c r="G28" t="str">
        <x:v>股</x:v>
      </x:c>
      <x:c r="H28" s="38" t="str">
        <x:v>PDF p22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营运资本与账龄分析</x:v>
      </x:c>
      <x:c r="B1" s="3" t="str">
        <x:v>营运资本与账龄分析</x:v>
      </x:c>
      <x:c r="C1" s="3" t="str">
        <x:v>营运资本与账龄分析</x:v>
      </x:c>
      <x:c r="D1" s="3" t="str">
        <x:v>营运资本与账龄分析</x:v>
      </x:c>
      <x:c r="E1" s="3" t="str">
        <x:v>营运资本与账龄分析</x:v>
      </x:c>
      <x:c r="F1" s="3" t="str">
        <x:v>营运资本与账龄分析</x:v>
      </x:c>
    </x:row>
    <x:row r="2" ht="26" customHeight="1">
      <x:c r="A2" s="6" t="str">
        <x:v>2026年6月30日对2025年12月31日 | 人民币千元</x:v>
      </x:c>
      <x:c r="B2" s="6" t="str">
        <x:v>2026年6月30日对2025年12月31日 | 人民币千元</x:v>
      </x:c>
      <x:c r="C2" s="6" t="str">
        <x:v>2026年6月30日对2025年12月31日 | 人民币千元</x:v>
      </x:c>
      <x:c r="D2" s="6" t="str">
        <x:v>2026年6月30日对2025年12月31日 | 人民币千元</x:v>
      </x:c>
      <x:c r="E2" s="6" t="str">
        <x:v>2026年6月30日对2025年12月31日 | 人民币千元</x:v>
      </x:c>
      <x:c r="F2" s="6" t="str">
        <x:v>2026年6月30日对2025年12月31日 | 人民币千元</x:v>
      </x:c>
    </x:row>
    <x:row r="4" ht="22" customHeight="1">
      <x:c r="A4" s="13" t="str">
        <x:v>贸易及其他应收款</x:v>
      </x:c>
      <x:c r="B4" s="13" t="str">
        <x:v>贸易及其他应收款</x:v>
      </x:c>
      <x:c r="C4" s="13" t="str">
        <x:v>贸易及其他应收款</x:v>
      </x:c>
      <x:c r="D4" s="13" t="str">
        <x:v>贸易及其他应收款</x:v>
      </x:c>
      <x:c r="E4" s="13" t="str">
        <x:v>贸易及其他应收款</x:v>
      </x:c>
      <x:c r="F4" s="13" t="str">
        <x:v>贸易及其他应收款</x:v>
      </x:c>
    </x:row>
    <x:row r="5" ht="28" customHeight="1">
      <x:c r="A5" s="18" t="str">
        <x:v>项目</x:v>
      </x:c>
      <x:c r="B5" s="18" t="str">
        <x:v>2026-06-30</x:v>
      </x:c>
      <x:c r="C5" s="18" t="str">
        <x:v>2025-12-31</x:v>
      </x:c>
      <x:c r="D5" s="18" t="str">
        <x:v>变动额</x:v>
      </x:c>
      <x:c r="E5" s="18" t="str">
        <x:v>变动率</x:v>
      </x:c>
      <x:c r="F5" s="18" t="str">
        <x:v>来源</x:v>
      </x:c>
    </x:row>
    <x:row r="7">
      <x:c r="A7" t="str">
        <x:v>贸易应收款总额</x:v>
      </x:c>
      <x:c r="B7" s="19" t="n">
        <x:v>7420565</x:v>
      </x:c>
      <x:c r="C7" s="19" t="n">
        <x:v>5824074</x:v>
      </x:c>
      <x:c r="D7" s="19" t="n">
        <x:f>IF(OR(B7="",C7=""),"",B7-C7)</x:f>
        <x:v>1596491</x:v>
      </x:c>
      <x:c r="E7" s="20" t="n">
        <x:f>IFERROR(B7/C7-1,"")</x:f>
        <x:v>0.2741192848854599</x:v>
      </x:c>
      <x:c r="F7" s="38" t="str">
        <x:v>PDF p19</x:v>
      </x:c>
    </x:row>
    <x:row r="8">
      <x:c r="A8" t="str">
        <x:v>减：贸易应收款亏损拨备</x:v>
      </x:c>
      <x:c r="B8" s="19" t="n">
        <x:v>-776068</x:v>
      </x:c>
      <x:c r="C8" s="19" t="n">
        <x:v>-724477</x:v>
      </x:c>
      <x:c r="D8" s="19" t="n">
        <x:f>IF(OR(B8="",C8=""),"",B8-C8)</x:f>
        <x:v>-51591</x:v>
      </x:c>
      <x:c r="E8" s="20" t="n">
        <x:f>IFERROR(B8/C8-1,"")</x:f>
        <x:v>0.0712113704092745</x:v>
      </x:c>
      <x:c r="F8" s="38" t="str">
        <x:v>PDF p19</x:v>
      </x:c>
    </x:row>
    <x:row r="9">
      <x:c r="A9" s="33" t="str">
        <x:v>贸易应收款净额</x:v>
      </x:c>
      <x:c r="B9" s="34" t="n">
        <x:v>6644497</x:v>
      </x:c>
      <x:c r="C9" s="34" t="n">
        <x:v>5099597</x:v>
      </x:c>
      <x:c r="D9" s="34" t="n">
        <x:f>IF(OR(B9="",C9=""),"",B9-C9)</x:f>
        <x:v>1544900</x:v>
      </x:c>
      <x:c r="E9" s="35" t="n">
        <x:f>IFERROR(B9/C9-1,"")</x:f>
        <x:v>0.3029455072626328</x:v>
      </x:c>
      <x:c r="F9" s="39" t="str">
        <x:v>PDF p19</x:v>
      </x:c>
    </x:row>
    <x:row r="10">
      <x:c r="A10" t="str">
        <x:v>代表业主支付款项</x:v>
      </x:c>
      <x:c r="B10" s="19" t="n">
        <x:v>291821</x:v>
      </x:c>
      <x:c r="C10" s="19" t="n">
        <x:v>310022</x:v>
      </x:c>
      <x:c r="D10" s="19" t="n">
        <x:f>IF(OR(B10="",C10=""),"",B10-C10)</x:f>
        <x:v>-18201</x:v>
      </x:c>
      <x:c r="E10" s="20" t="n">
        <x:f>IFERROR(B10/C10-1,"")</x:f>
        <x:v>-0.05870873679932387</x:v>
      </x:c>
      <x:c r="F10" s="38" t="str">
        <x:v>PDF p19</x:v>
      </x:c>
    </x:row>
    <x:row r="11">
      <x:c r="A11" t="str">
        <x:v>押金</x:v>
      </x:c>
      <x:c r="B11" s="19" t="n">
        <x:v>376410</x:v>
      </x:c>
      <x:c r="C11" s="19" t="n">
        <x:v>368838</x:v>
      </x:c>
      <x:c r="D11" s="19" t="n">
        <x:f>IF(OR(B11="",C11=""),"",B11-C11)</x:f>
        <x:v>7572</x:v>
      </x:c>
      <x:c r="E11" s="20" t="n">
        <x:f>IFERROR(B11/C11-1,"")</x:f>
        <x:v>0.020529338083386195</x:v>
      </x:c>
      <x:c r="F11" s="38" t="str">
        <x:v>PDF p19</x:v>
      </x:c>
    </x:row>
    <x:row r="12">
      <x:c r="A12" t="str">
        <x:v>应收贷款</x:v>
      </x:c>
      <x:c r="B12" s="19" t="n">
        <x:v>60889</x:v>
      </x:c>
      <x:c r="C12" s="19" t="n">
        <x:v>63964</x:v>
      </x:c>
      <x:c r="D12" s="19" t="n">
        <x:f>IF(OR(B12="",C12=""),"",B12-C12)</x:f>
        <x:v>-3075</x:v>
      </x:c>
      <x:c r="E12" s="20" t="n">
        <x:f>IFERROR(B12/C12-1,"")</x:f>
        <x:v>-0.04807391657807514</x:v>
      </x:c>
      <x:c r="F12" s="38" t="str">
        <x:v>PDF p19</x:v>
      </x:c>
    </x:row>
    <x:row r="13">
      <x:c r="A13" t="str">
        <x:v>员工垫款</x:v>
      </x:c>
      <x:c r="B13" s="19" t="n">
        <x:v>69394</x:v>
      </x:c>
      <x:c r="C13" s="19" t="n">
        <x:v>64889</x:v>
      </x:c>
      <x:c r="D13" s="19" t="n">
        <x:f>IF(OR(B13="",C13=""),"",B13-C13)</x:f>
        <x:v>4505</x:v>
      </x:c>
      <x:c r="E13" s="20" t="n">
        <x:f>IFERROR(B13/C13-1,"")</x:f>
        <x:v>0.06942625098244704</x:v>
      </x:c>
      <x:c r="F13" s="38" t="str">
        <x:v>PDF p19</x:v>
      </x:c>
    </x:row>
    <x:row r="14">
      <x:c r="A14" t="str">
        <x:v>出售附属公司应收款</x:v>
      </x:c>
      <x:c r="B14" s="19" t="n">
        <x:v>22654</x:v>
      </x:c>
      <x:c r="C14" s="19" t="n">
        <x:v>22693</x:v>
      </x:c>
      <x:c r="D14" s="19" t="n">
        <x:f>IF(OR(B14="",C14=""),"",B14-C14)</x:f>
        <x:v>-39</x:v>
      </x:c>
      <x:c r="E14" s="20" t="n">
        <x:f>IFERROR(B14/C14-1,"")</x:f>
        <x:v>-0.001718591636187372</x:v>
      </x:c>
      <x:c r="F14" s="38" t="str">
        <x:v>PDF p19</x:v>
      </x:c>
    </x:row>
    <x:row r="15">
      <x:c r="A15" t="str">
        <x:v>其他</x:v>
      </x:c>
      <x:c r="B15" s="19" t="n">
        <x:v>47154</x:v>
      </x:c>
      <x:c r="C15" s="19" t="n">
        <x:v>45045</x:v>
      </x:c>
      <x:c r="D15" s="19" t="n">
        <x:f>IF(OR(B15="",C15=""),"",B15-C15)</x:f>
        <x:v>2109</x:v>
      </x:c>
      <x:c r="E15" s="20" t="n">
        <x:f>IFERROR(B15/C15-1,"")</x:f>
        <x:v>0.046819846819846855</x:v>
      </x:c>
      <x:c r="F15" s="38" t="str">
        <x:v>PDF p19</x:v>
      </x:c>
    </x:row>
    <x:row r="16">
      <x:c r="A16" s="33" t="str">
        <x:v>其他应收款总额</x:v>
      </x:c>
      <x:c r="B16" s="34" t="n">
        <x:v>868322</x:v>
      </x:c>
      <x:c r="C16" s="34" t="n">
        <x:v>875451</x:v>
      </x:c>
      <x:c r="D16" s="34" t="n">
        <x:f>IF(OR(B16="",C16=""),"",B16-C16)</x:f>
        <x:v>-7129</x:v>
      </x:c>
      <x:c r="E16" s="35" t="n">
        <x:f>IFERROR(B16/C16-1,"")</x:f>
        <x:v>-0.008143231317343846</x:v>
      </x:c>
      <x:c r="F16" s="39" t="str">
        <x:v>PDF p19</x:v>
      </x:c>
    </x:row>
    <x:row r="17">
      <x:c r="A17" t="str">
        <x:v>减：其他应收款亏损拨备</x:v>
      </x:c>
      <x:c r="B17" s="19" t="n">
        <x:v>-72770</x:v>
      </x:c>
      <x:c r="C17" s="19" t="n">
        <x:v>-81841</x:v>
      </x:c>
      <x:c r="D17" s="19" t="n">
        <x:f>IF(OR(B17="",C17=""),"",B17-C17)</x:f>
        <x:v>9071</x:v>
      </x:c>
      <x:c r="E17" s="20" t="n">
        <x:f>IFERROR(B17/C17-1,"")</x:f>
        <x:v>-0.11083686660720182</x:v>
      </x:c>
      <x:c r="F17" s="38" t="str">
        <x:v>PDF p19</x:v>
      </x:c>
    </x:row>
    <x:row r="18">
      <x:c r="A18" s="33" t="str">
        <x:v>其他应收款净额</x:v>
      </x:c>
      <x:c r="B18" s="34" t="n">
        <x:v>795552</x:v>
      </x:c>
      <x:c r="C18" s="34" t="n">
        <x:v>793610</x:v>
      </x:c>
      <x:c r="D18" s="34" t="n">
        <x:f>IF(OR(B18="",C18=""),"",B18-C18)</x:f>
        <x:v>1942</x:v>
      </x:c>
      <x:c r="E18" s="35" t="n">
        <x:f>IFERROR(B18/C18-1,"")</x:f>
        <x:v>0.002447045778152912</x:v>
      </x:c>
      <x:c r="F18" s="39" t="str">
        <x:v>PDF p19</x:v>
      </x:c>
    </x:row>
    <x:row r="19">
      <x:c r="A19" s="33" t="str">
        <x:v>贸易及其他应收款合计</x:v>
      </x:c>
      <x:c r="B19" s="34" t="n">
        <x:v>7440049</x:v>
      </x:c>
      <x:c r="C19" s="34" t="n">
        <x:v>5893207</x:v>
      </x:c>
      <x:c r="D19" s="34" t="n">
        <x:f>IF(OR(B19="",C19=""),"",B19-C19)</x:f>
        <x:v>1546842</x:v>
      </x:c>
      <x:c r="E19" s="35" t="n">
        <x:f>IFERROR(B19/C19-1,"")</x:f>
        <x:v>0.26247881671219075</x:v>
      </x:c>
      <x:c r="F19" s="39" t="str">
        <x:v>PDF p19</x:v>
      </x:c>
    </x:row>
    <x:row r="20">
      <x:c r="B20" s="19"/>
      <x:c r="C20" s="19"/>
      <x:c r="D20" s="19"/>
      <x:c r="E20" s="20"/>
      <x:c r="F20" s="38"/>
    </x:row>
    <x:row r="21">
      <x:c r="B21" s="19"/>
      <x:c r="C21" s="19"/>
      <x:c r="D21" s="19"/>
      <x:c r="E21" s="20"/>
      <x:c r="F21" s="38"/>
    </x:row>
    <x:row r="22" ht="22" customHeight="1">
      <x:c r="A22" s="13" t="str">
        <x:v>贸易应收款账龄（净额）</x:v>
      </x:c>
      <x:c r="B22" s="48" t="str">
        <x:v>贸易应收款账龄（净额）</x:v>
      </x:c>
      <x:c r="C22" s="48" t="str">
        <x:v>贸易应收款账龄（净额）</x:v>
      </x:c>
      <x:c r="D22" s="48" t="str">
        <x:v>贸易应收款账龄（净额）</x:v>
      </x:c>
      <x:c r="E22" s="50" t="str">
        <x:v>贸易应收款账龄（净额）</x:v>
      </x:c>
      <x:c r="F22" s="54" t="str">
        <x:v>贸易应收款账龄（净额）</x:v>
      </x:c>
    </x:row>
    <x:row r="23" ht="28" customHeight="1">
      <x:c r="A23" s="18" t="str">
        <x:v>账龄</x:v>
      </x:c>
      <x:c r="B23" s="49" t="str">
        <x:v>2026-06-30</x:v>
      </x:c>
      <x:c r="C23" s="49" t="str">
        <x:v>2025-12-31</x:v>
      </x:c>
      <x:c r="D23" s="49" t="str">
        <x:v>变动额</x:v>
      </x:c>
      <x:c r="E23" s="51" t="str">
        <x:v>变动率</x:v>
      </x:c>
      <x:c r="F23" s="53" t="str">
        <x:v>来源</x:v>
      </x:c>
    </x:row>
    <x:row r="24">
      <x:c r="B24" s="19"/>
      <x:c r="C24" s="19"/>
      <x:c r="D24" s="19"/>
      <x:c r="E24" s="20"/>
      <x:c r="F24" s="38"/>
    </x:row>
    <x:row r="25">
      <x:c r="A25" t="str">
        <x:v>1年内</x:v>
      </x:c>
      <x:c r="B25" s="19" t="n">
        <x:v>4375648</x:v>
      </x:c>
      <x:c r="C25" s="19" t="n">
        <x:v>3085213</x:v>
      </x:c>
      <x:c r="D25" s="19" t="n">
        <x:f>IF(OR(B25="",C25=""),"",B25-C25)</x:f>
        <x:v>1290435</x:v>
      </x:c>
      <x:c r="E25" s="20" t="n">
        <x:f>IFERROR(B25/C25-1,"")</x:f>
        <x:v>0.4182644763910952</x:v>
      </x:c>
      <x:c r="F25" s="38" t="str">
        <x:v>PDF p20</x:v>
      </x:c>
    </x:row>
    <x:row r="26">
      <x:c r="A26" t="str">
        <x:v>1至2年</x:v>
      </x:c>
      <x:c r="B26" s="19" t="n">
        <x:v>1237858</x:v>
      </x:c>
      <x:c r="C26" s="19" t="n">
        <x:v>1111362</x:v>
      </x:c>
      <x:c r="D26" s="19" t="n">
        <x:f>IF(OR(B26="",C26=""),"",B26-C26)</x:f>
        <x:v>126496</x:v>
      </x:c>
      <x:c r="E26" s="20" t="n">
        <x:f>IFERROR(B26/C26-1,"")</x:f>
        <x:v>0.11382069928610128</x:v>
      </x:c>
      <x:c r="F26" s="38" t="str">
        <x:v>PDF p20</x:v>
      </x:c>
    </x:row>
    <x:row r="27">
      <x:c r="A27" t="str">
        <x:v>2至3年</x:v>
      </x:c>
      <x:c r="B27" s="19" t="n">
        <x:v>670440</x:v>
      </x:c>
      <x:c r="C27" s="19" t="n">
        <x:v>581963</x:v>
      </x:c>
      <x:c r="D27" s="19" t="n">
        <x:f>IF(OR(B27="",C27=""),"",B27-C27)</x:f>
        <x:v>88477</x:v>
      </x:c>
      <x:c r="E27" s="20" t="n">
        <x:f>IFERROR(B27/C27-1,"")</x:f>
        <x:v>0.15203200203449363</x:v>
      </x:c>
      <x:c r="F27" s="38" t="str">
        <x:v>PDF p20</x:v>
      </x:c>
    </x:row>
    <x:row r="28">
      <x:c r="A28" t="str">
        <x:v>3至4年</x:v>
      </x:c>
      <x:c r="B28" s="19" t="n">
        <x:v>349805</x:v>
      </x:c>
      <x:c r="C28" s="19" t="n">
        <x:v>305779</x:v>
      </x:c>
      <x:c r="D28" s="19" t="n">
        <x:f>IF(OR(B28="",C28=""),"",B28-C28)</x:f>
        <x:v>44026</x:v>
      </x:c>
      <x:c r="E28" s="20" t="n">
        <x:f>IFERROR(B28/C28-1,"")</x:f>
        <x:v>0.14397980240631303</x:v>
      </x:c>
      <x:c r="F28" s="38" t="str">
        <x:v>PDF p20</x:v>
      </x:c>
    </x:row>
    <x:row r="29">
      <x:c r="A29" t="str">
        <x:v>4至5年</x:v>
      </x:c>
      <x:c r="B29" s="19" t="n">
        <x:v>8688</x:v>
      </x:c>
      <x:c r="C29" s="19" t="n">
        <x:v>11655</x:v>
      </x:c>
      <x:c r="D29" s="19" t="n">
        <x:f>IF(OR(B29="",C29=""),"",B29-C29)</x:f>
        <x:v>-2967</x:v>
      </x:c>
      <x:c r="E29" s="20" t="n">
        <x:f>IFERROR(B29/C29-1,"")</x:f>
        <x:v>-0.2545688545688546</x:v>
      </x:c>
      <x:c r="F29" s="38" t="str">
        <x:v>PDF p20</x:v>
      </x:c>
    </x:row>
    <x:row r="30">
      <x:c r="A30" t="str">
        <x:v>5年以上</x:v>
      </x:c>
      <x:c r="B30" s="19" t="n">
        <x:v>2058</x:v>
      </x:c>
      <x:c r="C30" s="19" t="n">
        <x:v>3625</x:v>
      </x:c>
      <x:c r="D30" s="19" t="n">
        <x:f>IF(OR(B30="",C30=""),"",B30-C30)</x:f>
        <x:v>-1567</x:v>
      </x:c>
      <x:c r="E30" s="20" t="n">
        <x:f>IFERROR(B30/C30-1,"")</x:f>
        <x:v>-0.4322758620689655</x:v>
      </x:c>
      <x:c r="F30" s="38" t="str">
        <x:v>PDF p20</x:v>
      </x:c>
    </x:row>
    <x:row r="31">
      <x:c r="A31" s="33" t="str">
        <x:v>账龄合计</x:v>
      </x:c>
      <x:c r="B31" s="34" t="n">
        <x:v>6644497</x:v>
      </x:c>
      <x:c r="C31" s="34" t="n">
        <x:v>5099597</x:v>
      </x:c>
      <x:c r="D31" s="34" t="n">
        <x:f>IF(OR(B31="",C31=""),"",B31-C31)</x:f>
        <x:v>1544900</x:v>
      </x:c>
      <x:c r="E31" s="35" t="n">
        <x:f>IFERROR(B31/C31-1,"")</x:f>
        <x:v>0.3029455072626328</x:v>
      </x:c>
      <x:c r="F31" s="39" t="str">
        <x:v>PDF p20</x:v>
      </x:c>
    </x:row>
    <x:row r="32">
      <x:c r="B32" s="19"/>
      <x:c r="C32" s="19"/>
      <x:c r="D32" s="19"/>
      <x:c r="E32" s="20"/>
      <x:c r="F32" s="38"/>
    </x:row>
    <x:row r="33">
      <x:c r="B33" s="19"/>
      <x:c r="C33" s="19"/>
      <x:c r="D33" s="19"/>
      <x:c r="E33" s="20"/>
      <x:c r="F33" s="38"/>
    </x:row>
    <x:row r="34" ht="22" customHeight="1">
      <x:c r="A34" s="13" t="str">
        <x:v>贸易及其他应付款</x:v>
      </x:c>
      <x:c r="B34" s="48" t="str">
        <x:v>贸易及其他应付款</x:v>
      </x:c>
      <x:c r="C34" s="48" t="str">
        <x:v>贸易及其他应付款</x:v>
      </x:c>
      <x:c r="D34" s="48" t="str">
        <x:v>贸易及其他应付款</x:v>
      </x:c>
      <x:c r="E34" s="50" t="str">
        <x:v>贸易及其他应付款</x:v>
      </x:c>
      <x:c r="F34" s="54" t="str">
        <x:v>贸易及其他应付款</x:v>
      </x:c>
    </x:row>
    <x:row r="35" ht="28" customHeight="1">
      <x:c r="A35" s="18" t="str">
        <x:v>项目</x:v>
      </x:c>
      <x:c r="B35" s="49" t="str">
        <x:v>2026-06-30</x:v>
      </x:c>
      <x:c r="C35" s="49" t="str">
        <x:v>2025-12-31</x:v>
      </x:c>
      <x:c r="D35" s="49" t="str">
        <x:v>变动额</x:v>
      </x:c>
      <x:c r="E35" s="51" t="str">
        <x:v>变动率</x:v>
      </x:c>
      <x:c r="F35" s="53" t="str">
        <x:v>来源</x:v>
      </x:c>
    </x:row>
    <x:row r="36">
      <x:c r="B36" s="19"/>
      <x:c r="C36" s="19"/>
      <x:c r="D36" s="19"/>
      <x:c r="E36" s="20"/>
      <x:c r="F36" s="38"/>
    </x:row>
    <x:row r="37">
      <x:c r="A37" t="str">
        <x:v>已结算贸易应付款</x:v>
      </x:c>
      <x:c r="B37" s="19" t="n">
        <x:v>1816865</x:v>
      </x:c>
      <x:c r="C37" s="19" t="n">
        <x:v>1899501</x:v>
      </x:c>
      <x:c r="D37" s="19" t="n">
        <x:f>IF(OR(B37="",C37=""),"",B37-C37)</x:f>
        <x:v>-82636</x:v>
      </x:c>
      <x:c r="E37" s="20" t="n">
        <x:f>IFERROR(B37/C37-1,"")</x:f>
        <x:v>-0.04350405711815897</x:v>
      </x:c>
      <x:c r="F37" s="38" t="str">
        <x:v>PDF p20</x:v>
      </x:c>
    </x:row>
    <x:row r="38">
      <x:c r="A38" t="str">
        <x:v>应计贸易应付款</x:v>
      </x:c>
      <x:c r="B38" s="19" t="n">
        <x:v>429440</x:v>
      </x:c>
      <x:c r="C38" s="19" t="n">
        <x:v>397318</x:v>
      </x:c>
      <x:c r="D38" s="19" t="n">
        <x:f>IF(OR(B38="",C38=""),"",B38-C38)</x:f>
        <x:v>32122</x:v>
      </x:c>
      <x:c r="E38" s="20" t="n">
        <x:f>IFERROR(B38/C38-1,"")</x:f>
        <x:v>0.08084707966918181</x:v>
      </x:c>
      <x:c r="F38" s="38" t="str">
        <x:v>PDF p20</x:v>
      </x:c>
    </x:row>
    <x:row r="39">
      <x:c r="A39" s="33" t="str">
        <x:v>贸易应付款</x:v>
      </x:c>
      <x:c r="B39" s="34" t="n">
        <x:v>2246305</x:v>
      </x:c>
      <x:c r="C39" s="34" t="n">
        <x:v>2296819</x:v>
      </x:c>
      <x:c r="D39" s="34" t="n">
        <x:f>IF(OR(B39="",C39=""),"",B39-C39)</x:f>
        <x:v>-50514</x:v>
      </x:c>
      <x:c r="E39" s="35" t="n">
        <x:f>IFERROR(B39/C39-1,"")</x:f>
        <x:v>-0.021993026006838168</x:v>
      </x:c>
      <x:c r="F39" s="39" t="str">
        <x:v>PDF p20</x:v>
      </x:c>
    </x:row>
    <x:row r="40">
      <x:c r="A40" t="str">
        <x:v>应付票据</x:v>
      </x:c>
      <x:c r="B40" s="19" t="n">
        <x:v>144317</x:v>
      </x:c>
      <x:c r="C40" s="19" t="n">
        <x:v>139835</x:v>
      </x:c>
      <x:c r="D40" s="19" t="n">
        <x:f>IF(OR(B40="",C40=""),"",B40-C40)</x:f>
        <x:v>4482</x:v>
      </x:c>
      <x:c r="E40" s="20" t="n">
        <x:f>IFERROR(B40/C40-1,"")</x:f>
        <x:v>0.03205206135802907</x:v>
      </x:c>
      <x:c r="F40" s="38" t="str">
        <x:v>PDF p20</x:v>
      </x:c>
    </x:row>
    <x:row r="41">
      <x:c r="A41" s="33" t="str">
        <x:v>贸易应付款及票据</x:v>
      </x:c>
      <x:c r="B41" s="34" t="n">
        <x:v>2390622</x:v>
      </x:c>
      <x:c r="C41" s="34" t="n">
        <x:v>2436654</x:v>
      </x:c>
      <x:c r="D41" s="34" t="n">
        <x:f>IF(OR(B41="",C41=""),"",B41-C41)</x:f>
        <x:v>-46032</x:v>
      </x:c>
      <x:c r="E41" s="35" t="n">
        <x:f>IFERROR(B41/C41-1,"")</x:f>
        <x:v>-0.018891479873629935</x:v>
      </x:c>
      <x:c r="F41" s="39" t="str">
        <x:v>PDF p20</x:v>
      </x:c>
    </x:row>
    <x:row r="42">
      <x:c r="A42" t="str">
        <x:v>可退还按金</x:v>
      </x:c>
      <x:c r="B42" s="19" t="n">
        <x:v>644344</x:v>
      </x:c>
      <x:c r="C42" s="19" t="n">
        <x:v>611300</x:v>
      </x:c>
      <x:c r="D42" s="19" t="n">
        <x:f>IF(OR(B42="",C42=""),"",B42-C42)</x:f>
        <x:v>33044</x:v>
      </x:c>
      <x:c r="E42" s="20" t="n">
        <x:f>IFERROR(B42/C42-1,"")</x:f>
        <x:v>0.05405529200065429</x:v>
      </x:c>
      <x:c r="F42" s="38" t="str">
        <x:v>PDF p20</x:v>
      </x:c>
    </x:row>
    <x:row r="43">
      <x:c r="A43" t="str">
        <x:v>代表客户持有托管基金</x:v>
      </x:c>
      <x:c r="B43" s="19" t="n">
        <x:v>25851</x:v>
      </x:c>
      <x:c r="C43" s="19" t="n">
        <x:v>74347</x:v>
      </x:c>
      <x:c r="D43" s="19" t="n">
        <x:f>IF(OR(B43="",C43=""),"",B43-C43)</x:f>
        <x:v>-48496</x:v>
      </x:c>
      <x:c r="E43" s="20" t="n">
        <x:f>IFERROR(B43/C43-1,"")</x:f>
        <x:v>-0.6522926278128236</x:v>
      </x:c>
      <x:c r="F43" s="38" t="str">
        <x:v>PDF p20</x:v>
      </x:c>
    </x:row>
    <x:row r="44">
      <x:c r="A44" t="str">
        <x:v>代表业委会收取现金</x:v>
      </x:c>
      <x:c r="B44" s="19" t="n">
        <x:v>449449</x:v>
      </x:c>
      <x:c r="C44" s="19" t="n">
        <x:v>463166</x:v>
      </x:c>
      <x:c r="D44" s="19" t="n">
        <x:f>IF(OR(B44="",C44=""),"",B44-C44)</x:f>
        <x:v>-13717</x:v>
      </x:c>
      <x:c r="E44" s="20" t="n">
        <x:f>IFERROR(B44/C44-1,"")</x:f>
        <x:v>-0.029615731724694783</x:v>
      </x:c>
      <x:c r="F44" s="38" t="str">
        <x:v>PDF p20</x:v>
      </x:c>
    </x:row>
    <x:row r="45">
      <x:c r="A45" t="str">
        <x:v>临时收款</x:v>
      </x:c>
      <x:c r="B45" s="19" t="n">
        <x:v>512034</x:v>
      </x:c>
      <x:c r="C45" s="19" t="n">
        <x:v>475962</x:v>
      </x:c>
      <x:c r="D45" s="19" t="n">
        <x:f>IF(OR(B45="",C45=""),"",B45-C45)</x:f>
        <x:v>36072</x:v>
      </x:c>
      <x:c r="E45" s="20" t="n">
        <x:f>IFERROR(B45/C45-1,"")</x:f>
        <x:v>0.0757875628726663</x:v>
      </x:c>
      <x:c r="F45" s="38" t="str">
        <x:v>PDF p20</x:v>
      </x:c>
    </x:row>
    <x:row r="46">
      <x:c r="A46" t="str">
        <x:v>应付关联方款</x:v>
      </x:c>
      <x:c r="B46" s="19" t="n">
        <x:v>57253</x:v>
      </x:c>
      <x:c r="C46" s="19" t="n">
        <x:v>73277</x:v>
      </x:c>
      <x:c r="D46" s="19" t="n">
        <x:f>IF(OR(B46="",C46=""),"",B46-C46)</x:f>
        <x:v>-16024</x:v>
      </x:c>
      <x:c r="E46" s="20" t="n">
        <x:f>IFERROR(B46/C46-1,"")</x:f>
        <x:v>-0.21867707466189934</x:v>
      </x:c>
      <x:c r="F46" s="38" t="str">
        <x:v>PDF p20</x:v>
      </x:c>
    </x:row>
    <x:row r="47">
      <x:c r="A47" t="str">
        <x:v>第三方贷款</x:v>
      </x:c>
      <x:c r="B47" s="19" t="n">
        <x:v>23938</x:v>
      </x:c>
      <x:c r="C47" s="19" t="n">
        <x:v>24893</x:v>
      </x:c>
      <x:c r="D47" s="19" t="n">
        <x:f>IF(OR(B47="",C47=""),"",B47-C47)</x:f>
        <x:v>-955</x:v>
      </x:c>
      <x:c r="E47" s="20" t="n">
        <x:f>IFERROR(B47/C47-1,"")</x:f>
        <x:v>-0.03836419877073871</x:v>
      </x:c>
      <x:c r="F47" s="38" t="str">
        <x:v>PDF p20</x:v>
      </x:c>
    </x:row>
    <x:row r="48">
      <x:c r="A48" t="str">
        <x:v>应付股东股息</x:v>
      </x:c>
      <x:c r="B48" s="19" t="n">
        <x:v>653489</x:v>
      </x:c>
      <x:c r="C48" s="19" t="n">
        <x:v>0</x:v>
      </x:c>
      <x:c r="D48" s="19" t="str">
        <x:f>IF(OR(B48="",C48=""),"",B48-C48)</x:f>
      </x:c>
      <x:c r="E48" s="20" t="str">
        <x:f>IFERROR(B48/C48-1,"")</x:f>
      </x:c>
      <x:c r="F48" s="38" t="str">
        <x:v>PDF p20</x:v>
      </x:c>
    </x:row>
    <x:row r="49">
      <x:c r="A49" t="str">
        <x:v>其他应付款</x:v>
      </x:c>
      <x:c r="B49" s="19" t="n">
        <x:v>125463</x:v>
      </x:c>
      <x:c r="C49" s="19" t="n">
        <x:v>130233</x:v>
      </x:c>
      <x:c r="D49" s="19" t="n">
        <x:f>IF(OR(B49="",C49=""),"",B49-C49)</x:f>
        <x:v>-4770</x:v>
      </x:c>
      <x:c r="E49" s="20" t="n">
        <x:f>IFERROR(B49/C49-1,"")</x:f>
        <x:v>-0.03662666144525584</x:v>
      </x:c>
      <x:c r="F49" s="38" t="str">
        <x:v>PDF p20</x:v>
      </x:c>
    </x:row>
    <x:row r="50">
      <x:c r="A50" s="33" t="str">
        <x:v>按摊余成本计量金融负债</x:v>
      </x:c>
      <x:c r="B50" s="34" t="n">
        <x:v>4882443</x:v>
      </x:c>
      <x:c r="C50" s="34" t="n">
        <x:v>4289832</x:v>
      </x:c>
      <x:c r="D50" s="34" t="n">
        <x:f>IF(OR(B50="",C50=""),"",B50-C50)</x:f>
        <x:v>592611</x:v>
      </x:c>
      <x:c r="E50" s="35" t="n">
        <x:f>IFERROR(B50/C50-1,"")</x:f>
        <x:v>0.13814317204030369</x:v>
      </x:c>
      <x:c r="F50" s="39" t="str">
        <x:v>PDF p20</x:v>
      </x:c>
    </x:row>
    <x:row r="51">
      <x:c r="A51" t="str">
        <x:v>应计工资及福利</x:v>
      </x:c>
      <x:c r="B51" s="19" t="n">
        <x:v>506853</x:v>
      </x:c>
      <x:c r="C51" s="19" t="n">
        <x:v>584566</x:v>
      </x:c>
      <x:c r="D51" s="19" t="n">
        <x:f>IF(OR(B51="",C51=""),"",B51-C51)</x:f>
        <x:v>-77713</x:v>
      </x:c>
      <x:c r="E51" s="20" t="n">
        <x:f>IFERROR(B51/C51-1,"")</x:f>
        <x:v>-0.13294136162554782</x:v>
      </x:c>
      <x:c r="F51" s="38" t="str">
        <x:v>PDF p20</x:v>
      </x:c>
    </x:row>
    <x:row r="52">
      <x:c r="A52" t="str">
        <x:v>其他税项、费用及应计费用</x:v>
      </x:c>
      <x:c r="B52" s="19" t="n">
        <x:v>565281</x:v>
      </x:c>
      <x:c r="C52" s="19" t="n">
        <x:v>553751</x:v>
      </x:c>
      <x:c r="D52" s="19" t="n">
        <x:f>IF(OR(B52="",C52=""),"",B52-C52)</x:f>
        <x:v>11530</x:v>
      </x:c>
      <x:c r="E52" s="20" t="n">
        <x:f>IFERROR(B52/C52-1,"")</x:f>
        <x:v>0.02082163282775107</x:v>
      </x:c>
      <x:c r="F52" s="38" t="str">
        <x:v>PDF p20</x:v>
      </x:c>
    </x:row>
    <x:row r="53">
      <x:c r="A53" s="33" t="str">
        <x:v>贸易及其他应付款合计</x:v>
      </x:c>
      <x:c r="B53" s="34" t="n">
        <x:v>5954577</x:v>
      </x:c>
      <x:c r="C53" s="34" t="n">
        <x:v>5428149</x:v>
      </x:c>
      <x:c r="D53" s="34" t="n">
        <x:f>IF(OR(B53="",C53=""),"",B53-C53)</x:f>
        <x:v>526428</x:v>
      </x:c>
      <x:c r="E53" s="35" t="n">
        <x:f>IFERROR(B53/C53-1,"")</x:f>
        <x:v>0.09698112561022176</x:v>
      </x:c>
      <x:c r="F53" s="39" t="str">
        <x:v>PDF p20</x:v>
      </x:c>
    </x:row>
    <x:row r="54">
      <x:c r="B54" s="19"/>
      <x:c r="C54" s="19"/>
      <x:c r="D54" s="19"/>
      <x:c r="E54" s="20"/>
      <x:c r="F54" s="38"/>
    </x:row>
    <x:row r="55">
      <x:c r="B55" s="19"/>
      <x:c r="C55" s="19"/>
      <x:c r="D55" s="19"/>
      <x:c r="E55" s="20"/>
      <x:c r="F55" s="38"/>
    </x:row>
    <x:row r="56" ht="22" customHeight="1">
      <x:c r="A56" s="13" t="str">
        <x:v>已结算贸易应付款账龄</x:v>
      </x:c>
      <x:c r="B56" s="48" t="str">
        <x:v>已结算贸易应付款账龄</x:v>
      </x:c>
      <x:c r="C56" s="48" t="str">
        <x:v>已结算贸易应付款账龄</x:v>
      </x:c>
      <x:c r="D56" s="48" t="str">
        <x:v>已结算贸易应付款账龄</x:v>
      </x:c>
      <x:c r="E56" s="50" t="str">
        <x:v>已结算贸易应付款账龄</x:v>
      </x:c>
      <x:c r="F56" s="54" t="str">
        <x:v>已结算贸易应付款账龄</x:v>
      </x:c>
    </x:row>
    <x:row r="57" ht="28" customHeight="1">
      <x:c r="A57" s="18" t="str">
        <x:v>账龄</x:v>
      </x:c>
      <x:c r="B57" s="49" t="str">
        <x:v>2026-06-30</x:v>
      </x:c>
      <x:c r="C57" s="49" t="str">
        <x:v>2025-12-31</x:v>
      </x:c>
      <x:c r="D57" s="49" t="str">
        <x:v>变动额</x:v>
      </x:c>
      <x:c r="E57" s="51" t="str">
        <x:v>变动率</x:v>
      </x:c>
      <x:c r="F57" s="53" t="str">
        <x:v>来源</x:v>
      </x:c>
    </x:row>
    <x:row r="58">
      <x:c r="B58" s="19"/>
      <x:c r="C58" s="19"/>
      <x:c r="D58" s="19"/>
      <x:c r="E58" s="20"/>
      <x:c r="F58" s="38"/>
    </x:row>
    <x:row r="59">
      <x:c r="A59" t="str">
        <x:v>1个月内</x:v>
      </x:c>
      <x:c r="B59" s="19" t="n">
        <x:v>1282158</x:v>
      </x:c>
      <x:c r="C59" s="19" t="n">
        <x:v>1331197</x:v>
      </x:c>
      <x:c r="D59" s="19" t="n">
        <x:f>IF(OR(B59="",C59=""),"",B59-C59)</x:f>
        <x:v>-49039</x:v>
      </x:c>
      <x:c r="E59" s="20" t="n">
        <x:f>IFERROR(B59/C59-1,"")</x:f>
        <x:v>-0.0368382741247163</x:v>
      </x:c>
      <x:c r="F59" s="38" t="str">
        <x:v>PDF p21</x:v>
      </x:c>
    </x:row>
    <x:row r="60">
      <x:c r="A60" t="str">
        <x:v>1至3个月</x:v>
      </x:c>
      <x:c r="B60" s="19" t="n">
        <x:v>142773</x:v>
      </x:c>
      <x:c r="C60" s="19" t="n">
        <x:v>152277</x:v>
      </x:c>
      <x:c r="D60" s="19" t="n">
        <x:f>IF(OR(B60="",C60=""),"",B60-C60)</x:f>
        <x:v>-9504</x:v>
      </x:c>
      <x:c r="E60" s="20" t="n">
        <x:f>IFERROR(B60/C60-1,"")</x:f>
        <x:v>-0.062412577079926757</x:v>
      </x:c>
      <x:c r="F60" s="38" t="str">
        <x:v>PDF p21</x:v>
      </x:c>
    </x:row>
    <x:row r="61">
      <x:c r="A61" t="str">
        <x:v>3个月至1年</x:v>
      </x:c>
      <x:c r="B61" s="19" t="n">
        <x:v>186811</x:v>
      </x:c>
      <x:c r="C61" s="19" t="n">
        <x:v>239314</x:v>
      </x:c>
      <x:c r="D61" s="19" t="n">
        <x:f>IF(OR(B61="",C61=""),"",B61-C61)</x:f>
        <x:v>-52503</x:v>
      </x:c>
      <x:c r="E61" s="20" t="n">
        <x:f>IFERROR(B61/C61-1,"")</x:f>
        <x:v>-0.21938958857400737</x:v>
      </x:c>
      <x:c r="F61" s="38" t="str">
        <x:v>PDF p21</x:v>
      </x:c>
    </x:row>
    <x:row r="62">
      <x:c r="A62" t="str">
        <x:v>1年以上</x:v>
      </x:c>
      <x:c r="B62" s="19" t="n">
        <x:v>205123</x:v>
      </x:c>
      <x:c r="C62" s="19" t="n">
        <x:v>176713</x:v>
      </x:c>
      <x:c r="D62" s="19" t="n">
        <x:f>IF(OR(B62="",C62=""),"",B62-C62)</x:f>
        <x:v>28410</x:v>
      </x:c>
      <x:c r="E62" s="20" t="n">
        <x:f>IFERROR(B62/C62-1,"")</x:f>
        <x:v>0.16076915676831915</x:v>
      </x:c>
      <x:c r="F62" s="38" t="str">
        <x:v>PDF p21</x:v>
      </x:c>
    </x:row>
    <x:row r="63">
      <x:c r="A63" s="33" t="str">
        <x:v>账龄合计</x:v>
      </x:c>
      <x:c r="B63" s="34" t="n">
        <x:v>1816865</x:v>
      </x:c>
      <x:c r="C63" s="34" t="n">
        <x:v>1899501</x:v>
      </x:c>
      <x:c r="D63" s="34" t="n">
        <x:f>IF(OR(B63="",C63=""),"",B63-C63)</x:f>
        <x:v>-82636</x:v>
      </x:c>
      <x:c r="E63" s="35" t="n">
        <x:f>IFERROR(B63/C63-1,"")</x:f>
        <x:v>-0.04350405711815897</x:v>
      </x:c>
      <x:c r="F63" s="39" t="str">
        <x:v>PDF p21</x:v>
      </x:c>
    </x:row>
  </x:sheetData>
  <x:mergeCells>
    <x:mergeCell ref="A1:F1"/>
    <x:mergeCell ref="A2:F2"/>
    <x:mergeCell ref="A4:F4"/>
    <x:mergeCell ref="A22:F22"/>
    <x:mergeCell ref="A34:F34"/>
    <x:mergeCell ref="A56:F56"/>
  </x:mergeCells>
  <x:pageMargins left="0.7" right="0.7" top="0.75" bottom="0.75" header="0.3" footer="0.3"/>
  <x:legacyDrawing xmlns:r="http://schemas.openxmlformats.org/officeDocument/2006/relationships" r:id="R10350b4eb935419b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21" hidden="0" customWidth="1"/>
    <x:col min="7" max="7" width="14" hidden="0" customWidth="1"/>
    <x:col min="8" max="8" width="38" hidden="0" customWidth="1"/>
  </x:cols>
  <x:sheetData>
    <x:row r="1" ht="30" customHeight="1">
      <x:c r="A1" s="3" t="str">
        <x:v>财务附注与其他重要披露</x:v>
      </x:c>
      <x:c r="B1" s="3" t="str">
        <x:v>财务附注与其他重要披露</x:v>
      </x:c>
      <x:c r="C1" s="3" t="str">
        <x:v>财务附注与其他重要披露</x:v>
      </x:c>
      <x:c r="D1" s="3" t="str">
        <x:v>财务附注与其他重要披露</x:v>
      </x:c>
      <x:c r="E1" s="3" t="str">
        <x:v>财务附注与其他重要披露</x:v>
      </x:c>
      <x:c r="F1" s="3" t="str">
        <x:v>财务附注与其他重要披露</x:v>
      </x:c>
      <x:c r="G1" s="3" t="str">
        <x:v>财务附注与其他重要披露</x:v>
      </x:c>
      <x:c r="H1" s="3" t="str">
        <x:v>财务附注与其他重要披露</x:v>
      </x:c>
    </x:row>
    <x:row r="2" ht="26" customHeight="1">
      <x:c r="A2" s="6" t="str">
        <x:v>金额默认人民币千元；百万元、每股、股份数等单位单列</x:v>
      </x:c>
      <x:c r="B2" s="6" t="str">
        <x:v>金额默认人民币千元；百万元、每股、股份数等单位单列</x:v>
      </x:c>
      <x:c r="C2" s="6" t="str">
        <x:v>金额默认人民币千元；百万元、每股、股份数等单位单列</x:v>
      </x:c>
      <x:c r="D2" s="6" t="str">
        <x:v>金额默认人民币千元；百万元、每股、股份数等单位单列</x:v>
      </x:c>
      <x:c r="E2" s="6" t="str">
        <x:v>金额默认人民币千元；百万元、每股、股份数等单位单列</x:v>
      </x:c>
      <x:c r="F2" s="6" t="str">
        <x:v>金额默认人民币千元；百万元、每股、股份数等单位单列</x:v>
      </x:c>
      <x:c r="G2" s="6" t="str">
        <x:v>金额默认人民币千元；百万元、每股、股份数等单位单列</x:v>
      </x:c>
      <x:c r="H2" s="6" t="str">
        <x:v>金额默认人民币千元；百万元、每股、股份数等单位单列</x:v>
      </x:c>
    </x:row>
    <x:row r="4" ht="22" customHeight="1">
      <x:c r="A4" s="13" t="str">
        <x:v>其他收入及其他净亏损</x:v>
      </x:c>
      <x:c r="B4" s="13" t="str">
        <x:v>其他收入及其他净亏损</x:v>
      </x:c>
      <x:c r="C4" s="13" t="str">
        <x:v>其他收入及其他净亏损</x:v>
      </x:c>
      <x:c r="D4" s="13" t="str">
        <x:v>其他收入及其他净亏损</x:v>
      </x:c>
      <x:c r="E4" s="13" t="str">
        <x:v>其他收入及其他净亏损</x:v>
      </x:c>
      <x:c r="F4" s="13" t="str">
        <x:v>其他收入及其他净亏损</x:v>
      </x:c>
      <x:c r="G4" s="13" t="str">
        <x:v>其他收入及其他净亏损</x:v>
      </x:c>
      <x:c r="H4" s="13" t="str">
        <x:v>其他收入及其他净亏损</x:v>
      </x:c>
    </x:row>
    <x:row r="5" ht="28" customHeight="1">
      <x:c r="A5" s="18" t="str">
        <x:v>项目</x:v>
      </x:c>
      <x:c r="B5" s="18" t="str">
        <x:v>2026H1</x:v>
      </x:c>
      <x:c r="C5" s="18" t="str">
        <x:v>2025H1</x:v>
      </x:c>
      <x:c r="D5" s="18" t="str">
        <x:v>变动额</x:v>
      </x:c>
      <x:c r="E5" s="18" t="str">
        <x:v>变动率</x:v>
      </x:c>
      <x:c r="F5" s="18" t="str">
        <x:v>单位</x:v>
      </x:c>
      <x:c r="G5" s="18" t="str">
        <x:v>来源</x:v>
      </x:c>
      <x:c r="H5" s="18" t="str">
        <x:v>备注</x:v>
      </x:c>
    </x:row>
    <x:row r="7">
      <x:c r="A7" t="str">
        <x:v>政府补助</x:v>
      </x:c>
      <x:c r="B7" s="47" t="n">
        <x:v>20833</x:v>
      </x:c>
      <x:c r="C7" s="47" t="n">
        <x:v>30785</x:v>
      </x:c>
      <x:c r="D7" s="47" t="n">
        <x:f>IF(OR(B7="",C7=""),"",B7-C7)</x:f>
        <x:v>-9952</x:v>
      </x:c>
      <x:c r="E7" s="20" t="n">
        <x:f>IFERROR(B7/C7-1,"")</x:f>
        <x:v>-0.32327432191002115</x:v>
      </x:c>
      <x:c r="F7" t="str">
        <x:v>人民币千元</x:v>
      </x:c>
      <x:c r="G7" s="38" t="str">
        <x:v>PDF p14</x:v>
      </x:c>
      <x:c r="H7" s="38" t="str"/>
    </x:row>
    <x:row r="8">
      <x:c r="A8" t="str">
        <x:v>其他收入</x:v>
      </x:c>
      <x:c r="B8" s="47" t="n">
        <x:v>26997</x:v>
      </x:c>
      <x:c r="C8" s="47" t="n">
        <x:v>8480</x:v>
      </x:c>
      <x:c r="D8" s="47" t="n">
        <x:f>IF(OR(B8="",C8=""),"",B8-C8)</x:f>
        <x:v>18517</x:v>
      </x:c>
      <x:c r="E8" s="20" t="n">
        <x:f>IFERROR(B8/C8-1,"")</x:f>
        <x:v>2.1836084905660376</x:v>
      </x:c>
      <x:c r="F8" t="str">
        <x:v>人民币千元</x:v>
      </x:c>
      <x:c r="G8" s="38" t="str">
        <x:v>PDF p14</x:v>
      </x:c>
      <x:c r="H8" s="38" t="str"/>
    </x:row>
    <x:row r="9">
      <x:c r="A9" s="33" t="str">
        <x:v>其他收入合计</x:v>
      </x:c>
      <x:c r="B9" s="59" t="n">
        <x:v>47830</x:v>
      </x:c>
      <x:c r="C9" s="59" t="n">
        <x:v>39265</x:v>
      </x:c>
      <x:c r="D9" s="59" t="n">
        <x:f>IF(OR(B9="",C9=""),"",B9-C9)</x:f>
        <x:v>8565</x:v>
      </x:c>
      <x:c r="E9" s="35" t="n">
        <x:f>IFERROR(B9/C9-1,"")</x:f>
        <x:v>0.2181331975041385</x:v>
      </x:c>
      <x:c r="F9" s="33" t="str">
        <x:v>人民币千元</x:v>
      </x:c>
      <x:c r="G9" s="39" t="str">
        <x:v>PDF p14</x:v>
      </x:c>
      <x:c r="H9" s="39" t="str"/>
    </x:row>
    <x:row r="10">
      <x:c r="A10" t="str">
        <x:v>处置PPE亏损净额</x:v>
      </x:c>
      <x:c r="B10" s="47" t="n">
        <x:v>-3350</x:v>
      </x:c>
      <x:c r="C10" s="47" t="n">
        <x:v>-3498</x:v>
      </x:c>
      <x:c r="D10" s="47" t="n">
        <x:f>IF(OR(B10="",C10=""),"",B10-C10)</x:f>
        <x:v>148</x:v>
      </x:c>
      <x:c r="E10" s="20" t="n">
        <x:f>IFERROR(B10/C10-1,"")</x:f>
        <x:v>-0.0423098913664951</x:v>
      </x:c>
      <x:c r="F10" t="str">
        <x:v>人民币千元</x:v>
      </x:c>
      <x:c r="G10" s="38" t="str">
        <x:v>PDF p14</x:v>
      </x:c>
      <x:c r="H10" s="38" t="str"/>
    </x:row>
    <x:row r="11">
      <x:c r="A11" t="str">
        <x:v>处置投资物业收益净额</x:v>
      </x:c>
      <x:c r="B11" s="47" t="n">
        <x:v>31068</x:v>
      </x:c>
      <x:c r="C11" s="47" t="n">
        <x:v>0</x:v>
      </x:c>
      <x:c r="D11" s="47" t="str">
        <x:f>IF(OR(B11="",C11=""),"",B11-C11)</x:f>
      </x:c>
      <x:c r="E11" s="20" t="str">
        <x:f>IFERROR(B11/C11-1,"")</x:f>
      </x:c>
      <x:c r="F11" t="str">
        <x:v>人民币千元</x:v>
      </x:c>
      <x:c r="G11" s="38" t="str">
        <x:v>PDF p14</x:v>
      </x:c>
      <x:c r="H11" s="38" t="str"/>
    </x:row>
    <x:row r="12">
      <x:c r="A12" t="str">
        <x:v>可转换票据FVTPL损失</x:v>
      </x:c>
      <x:c r="B12" s="47" t="n">
        <x:v>-55289</x:v>
      </x:c>
      <x:c r="C12" s="47" t="n">
        <x:v>-49158</x:v>
      </x:c>
      <x:c r="D12" s="47" t="n">
        <x:f>IF(OR(B12="",C12=""),"",B12-C12)</x:f>
        <x:v>-6131</x:v>
      </x:c>
      <x:c r="E12" s="20" t="n">
        <x:f>IFERROR(B12/C12-1,"")</x:f>
        <x:v>0.1247202896781805</x:v>
      </x:c>
      <x:c r="F12" t="str">
        <x:v>人民币千元</x:v>
      </x:c>
      <x:c r="G12" s="38" t="str">
        <x:v>PDF p14</x:v>
      </x:c>
      <x:c r="H12" s="38" t="str"/>
    </x:row>
    <x:row r="13">
      <x:c r="A13" t="str">
        <x:v>上市股本证券FVTPL损益</x:v>
      </x:c>
      <x:c r="B13" s="47" t="n">
        <x:v>-5382</x:v>
      </x:c>
      <x:c r="C13" s="47" t="n">
        <x:v>26552</x:v>
      </x:c>
      <x:c r="D13" s="47" t="n">
        <x:f>IF(OR(B13="",C13=""),"",B13-C13)</x:f>
        <x:v>-31934</x:v>
      </x:c>
      <x:c r="E13" s="20" t="n">
        <x:f>IFERROR(B13/C13-1,"")</x:f>
        <x:v>-1.2026965953600481</x:v>
      </x:c>
      <x:c r="F13" t="str">
        <x:v>人民币千元</x:v>
      </x:c>
      <x:c r="G13" s="38" t="str">
        <x:v>PDF p14</x:v>
      </x:c>
      <x:c r="H13" s="38" t="str"/>
    </x:row>
    <x:row r="14">
      <x:c r="A14" t="str">
        <x:v>非上市股本投资FVTPL损益</x:v>
      </x:c>
      <x:c r="B14" s="47" t="n">
        <x:v>-4871</x:v>
      </x:c>
      <x:c r="C14" s="47" t="n">
        <x:v>4502</x:v>
      </x:c>
      <x:c r="D14" s="47" t="n">
        <x:f>IF(OR(B14="",C14=""),"",B14-C14)</x:f>
        <x:v>-9373</x:v>
      </x:c>
      <x:c r="E14" s="20" t="n">
        <x:f>IFERROR(B14/C14-1,"")</x:f>
        <x:v>-2.0819635717458906</x:v>
      </x:c>
      <x:c r="F14" t="str">
        <x:v>人民币千元</x:v>
      </x:c>
      <x:c r="G14" s="38" t="str">
        <x:v>PDF p14</x:v>
      </x:c>
      <x:c r="H14" s="38" t="str"/>
    </x:row>
    <x:row r="15">
      <x:c r="A15" t="str">
        <x:v>基金FVTPL损失</x:v>
      </x:c>
      <x:c r="B15" s="47" t="n">
        <x:v>-2575</x:v>
      </x:c>
      <x:c r="C15" s="47" t="n">
        <x:v>-28084</x:v>
      </x:c>
      <x:c r="D15" s="47" t="n">
        <x:f>IF(OR(B15="",C15=""),"",B15-C15)</x:f>
        <x:v>25509</x:v>
      </x:c>
      <x:c r="E15" s="20" t="n">
        <x:f>IFERROR(B15/C15-1,"")</x:f>
        <x:v>-0.9083107819398946</x:v>
      </x:c>
      <x:c r="F15" t="str">
        <x:v>人民币千元</x:v>
      </x:c>
      <x:c r="G15" s="38" t="str">
        <x:v>PDF p14</x:v>
      </x:c>
      <x:c r="H15" s="38" t="str"/>
    </x:row>
    <x:row r="16">
      <x:c r="A16" t="str">
        <x:v>项目投资FVTPL收益</x:v>
      </x:c>
      <x:c r="B16" s="47" t="n">
        <x:v>0</x:v>
      </x:c>
      <x:c r="C16" s="47" t="n">
        <x:v>2570</x:v>
      </x:c>
      <x:c r="D16" s="47" t="str">
        <x:f>IF(OR(B16="",C16=""),"",B16-C16)</x:f>
      </x:c>
      <x:c r="E16" s="20" t="n">
        <x:f>IFERROR(B16/C16-1,"")</x:f>
        <x:v>-1</x:v>
      </x:c>
      <x:c r="F16" t="str">
        <x:v>人民币千元</x:v>
      </x:c>
      <x:c r="G16" s="38" t="str">
        <x:v>PDF p14</x:v>
      </x:c>
      <x:c r="H16" s="38" t="str"/>
    </x:row>
    <x:row r="17">
      <x:c r="A17" t="str">
        <x:v>资金产品FVTPL收益</x:v>
      </x:c>
      <x:c r="B17" s="47" t="n">
        <x:v>4154</x:v>
      </x:c>
      <x:c r="C17" s="47" t="n">
        <x:v>364</x:v>
      </x:c>
      <x:c r="D17" s="47" t="n">
        <x:f>IF(OR(B17="",C17=""),"",B17-C17)</x:f>
        <x:v>3790</x:v>
      </x:c>
      <x:c r="E17" s="20" t="n">
        <x:f>IFERROR(B17/C17-1,"")</x:f>
        <x:v>10.412087912087912</x:v>
      </x:c>
      <x:c r="F17" t="str">
        <x:v>人民币千元</x:v>
      </x:c>
      <x:c r="G17" s="38" t="str">
        <x:v>PDF p14</x:v>
      </x:c>
      <x:c r="H17" s="38" t="str"/>
    </x:row>
    <x:row r="18">
      <x:c r="A18" t="str">
        <x:v>联营公司认沽及认购期权收益</x:v>
      </x:c>
      <x:c r="B18" s="47" t="n">
        <x:v>19749</x:v>
      </x:c>
      <x:c r="C18" s="47" t="n">
        <x:v>9405</x:v>
      </x:c>
      <x:c r="D18" s="47" t="n">
        <x:f>IF(OR(B18="",C18=""),"",B18-C18)</x:f>
        <x:v>10344</x:v>
      </x:c>
      <x:c r="E18" s="20" t="n">
        <x:f>IFERROR(B18/C18-1,"")</x:f>
        <x:v>1.099840510366826</x:v>
      </x:c>
      <x:c r="F18" t="str">
        <x:v>人民币千元</x:v>
      </x:c>
      <x:c r="G18" s="38" t="str">
        <x:v>PDF p14</x:v>
      </x:c>
      <x:c r="H18" s="38" t="str"/>
    </x:row>
    <x:row r="19">
      <x:c r="A19" t="str">
        <x:v>汇兑净收益</x:v>
      </x:c>
      <x:c r="B19" s="47" t="n">
        <x:v>4992</x:v>
      </x:c>
      <x:c r="C19" s="47" t="n">
        <x:v>10163</x:v>
      </x:c>
      <x:c r="D19" s="47" t="n">
        <x:f>IF(OR(B19="",C19=""),"",B19-C19)</x:f>
        <x:v>-5171</x:v>
      </x:c>
      <x:c r="E19" s="20" t="n">
        <x:f>IFERROR(B19/C19-1,"")</x:f>
        <x:v>-0.5088064547869724</x:v>
      </x:c>
      <x:c r="F19" t="str">
        <x:v>人民币千元</x:v>
      </x:c>
      <x:c r="G19" s="38" t="str">
        <x:v>PDF p14</x:v>
      </x:c>
      <x:c r="H19" s="38" t="str"/>
    </x:row>
    <x:row r="20">
      <x:c r="A20" s="33" t="str">
        <x:v>其他净亏损合计</x:v>
      </x:c>
      <x:c r="B20" s="59" t="n">
        <x:v>-11504</x:v>
      </x:c>
      <x:c r="C20" s="59" t="n">
        <x:v>-27184</x:v>
      </x:c>
      <x:c r="D20" s="59" t="n">
        <x:f>IF(OR(B20="",C20=""),"",B20-C20)</x:f>
        <x:v>15680</x:v>
      </x:c>
      <x:c r="E20" s="35" t="n">
        <x:f>IFERROR(B20/C20-1,"")</x:f>
        <x:v>-0.5768098881695114</x:v>
      </x:c>
      <x:c r="F20" s="33" t="str">
        <x:v>人民币千元</x:v>
      </x:c>
      <x:c r="G20" s="39" t="str">
        <x:v>PDF p14</x:v>
      </x:c>
      <x:c r="H20" s="39" t="str"/>
    </x:row>
    <x:row r="21">
      <x:c r="B21" s="47"/>
      <x:c r="C21" s="47"/>
      <x:c r="D21" s="47"/>
      <x:c r="E21" s="20"/>
      <x:c r="G21" s="38"/>
      <x:c r="H21" s="38"/>
    </x:row>
    <x:row r="22">
      <x:c r="B22" s="47"/>
      <x:c r="C22" s="47"/>
      <x:c r="D22" s="47"/>
      <x:c r="E22" s="20"/>
      <x:c r="G22" s="38"/>
      <x:c r="H22" s="38"/>
    </x:row>
    <x:row r="23" ht="22" customHeight="1">
      <x:c r="A23" s="13" t="str">
        <x:v>员工成本、减值、折旧及其他成本</x:v>
      </x:c>
      <x:c r="B23" s="55" t="str">
        <x:v>员工成本、减值、折旧及其他成本</x:v>
      </x:c>
      <x:c r="C23" s="55" t="str">
        <x:v>员工成本、减值、折旧及其他成本</x:v>
      </x:c>
      <x:c r="D23" s="55" t="str">
        <x:v>员工成本、减值、折旧及其他成本</x:v>
      </x:c>
      <x:c r="E23" s="50" t="str">
        <x:v>员工成本、减值、折旧及其他成本</x:v>
      </x:c>
      <x:c r="F23" s="13" t="str">
        <x:v>员工成本、减值、折旧及其他成本</x:v>
      </x:c>
      <x:c r="G23" s="54" t="str">
        <x:v>员工成本、减值、折旧及其他成本</x:v>
      </x:c>
      <x:c r="H23" s="54" t="str">
        <x:v>员工成本、减值、折旧及其他成本</x:v>
      </x:c>
    </x:row>
    <x:row r="24" ht="28" customHeight="1">
      <x:c r="A24" s="18" t="str">
        <x:v>项目</x:v>
      </x:c>
      <x:c r="B24" s="56" t="str">
        <x:v>2026H1</x:v>
      </x:c>
      <x:c r="C24" s="56" t="str">
        <x:v>2025H1</x:v>
      </x:c>
      <x:c r="D24" s="56" t="str">
        <x:v>变动额</x:v>
      </x:c>
      <x:c r="E24" s="51" t="str">
        <x:v>变动率</x:v>
      </x:c>
      <x:c r="F24" s="18" t="str">
        <x:v>单位</x:v>
      </x:c>
      <x:c r="G24" s="53" t="str">
        <x:v>来源</x:v>
      </x:c>
      <x:c r="H24" s="53" t="str">
        <x:v>备注</x:v>
      </x:c>
    </x:row>
    <x:row r="25">
      <x:c r="B25" s="47"/>
      <x:c r="C25" s="47"/>
      <x:c r="D25" s="47"/>
      <x:c r="E25" s="20"/>
      <x:c r="G25" s="38"/>
      <x:c r="H25" s="38"/>
    </x:row>
    <x:row r="26">
      <x:c r="A26" t="str">
        <x:v>薪资及其他福利</x:v>
      </x:c>
      <x:c r="B26" s="47" t="n">
        <x:v>2687061</x:v>
      </x:c>
      <x:c r="C26" s="47" t="n">
        <x:v>2584021</x:v>
      </x:c>
      <x:c r="D26" s="47" t="n">
        <x:f>IF(OR(B26="",C26=""),"",B26-C26)</x:f>
        <x:v>103040</x:v>
      </x:c>
      <x:c r="E26" s="20" t="n">
        <x:f>IFERROR(B26/C26-1,"")</x:f>
        <x:v>0.03987583692237795</x:v>
      </x:c>
      <x:c r="F26" t="str">
        <x:v>人民币千元</x:v>
      </x:c>
      <x:c r="G26" s="38" t="str">
        <x:v>PDF p15</x:v>
      </x:c>
      <x:c r="H26" s="38" t="str"/>
    </x:row>
    <x:row r="27">
      <x:c r="A27" t="str">
        <x:v>股份支付费用</x:v>
      </x:c>
      <x:c r="B27" s="47" t="n">
        <x:v>14489</x:v>
      </x:c>
      <x:c r="C27" s="47" t="n">
        <x:v>18829</x:v>
      </x:c>
      <x:c r="D27" s="47" t="n">
        <x:f>IF(OR(B27="",C27=""),"",B27-C27)</x:f>
        <x:v>-4340</x:v>
      </x:c>
      <x:c r="E27" s="20" t="n">
        <x:f>IFERROR(B27/C27-1,"")</x:f>
        <x:v>-0.23049551224175469</x:v>
      </x:c>
      <x:c r="F27" t="str">
        <x:v>人民币千元</x:v>
      </x:c>
      <x:c r="G27" s="38" t="str">
        <x:v>PDF p15</x:v>
      </x:c>
      <x:c r="H27" s="38" t="str"/>
    </x:row>
    <x:row r="28">
      <x:c r="A28" t="str">
        <x:v>界定供款计划供款</x:v>
      </x:c>
      <x:c r="B28" s="47" t="n">
        <x:v>485281</x:v>
      </x:c>
      <x:c r="C28" s="47" t="n">
        <x:v>425597</x:v>
      </x:c>
      <x:c r="D28" s="47" t="n">
        <x:f>IF(OR(B28="",C28=""),"",B28-C28)</x:f>
        <x:v>59684</x:v>
      </x:c>
      <x:c r="E28" s="20" t="n">
        <x:f>IFERROR(B28/C28-1,"")</x:f>
        <x:v>0.14023595091130803</x:v>
      </x:c>
      <x:c r="F28" t="str">
        <x:v>人民币千元</x:v>
      </x:c>
      <x:c r="G28" s="38" t="str">
        <x:v>PDF p15</x:v>
      </x:c>
      <x:c r="H28" s="38" t="str"/>
    </x:row>
    <x:row r="29">
      <x:c r="A29" s="33" t="str">
        <x:v>员工成本合计</x:v>
      </x:c>
      <x:c r="B29" s="59" t="n">
        <x:v>3186831</x:v>
      </x:c>
      <x:c r="C29" s="59" t="n">
        <x:v>3028447</x:v>
      </x:c>
      <x:c r="D29" s="59" t="n">
        <x:f>IF(OR(B29="",C29=""),"",B29-C29)</x:f>
        <x:v>158384</x:v>
      </x:c>
      <x:c r="E29" s="35" t="n">
        <x:f>IFERROR(B29/C29-1,"")</x:f>
        <x:v>0.05229875246289595</x:v>
      </x:c>
      <x:c r="F29" s="33" t="str">
        <x:v>人民币千元</x:v>
      </x:c>
      <x:c r="G29" s="39" t="str">
        <x:v>PDF p15</x:v>
      </x:c>
      <x:c r="H29" s="39" t="str"/>
    </x:row>
    <x:row r="30">
      <x:c r="A30" t="str">
        <x:v>贸易应收款预期信贷损失</x:v>
      </x:c>
      <x:c r="B30" s="47" t="n">
        <x:v>263570</x:v>
      </x:c>
      <x:c r="C30" s="47" t="n">
        <x:v>182305</x:v>
      </x:c>
      <x:c r="D30" s="47" t="n">
        <x:f>IF(OR(B30="",C30=""),"",B30-C30)</x:f>
        <x:v>81265</x:v>
      </x:c>
      <x:c r="E30" s="20" t="n">
        <x:f>IFERROR(B30/C30-1,"")</x:f>
        <x:v>0.44576396697841525</x:v>
      </x:c>
      <x:c r="F30" t="str">
        <x:v>人民币千元</x:v>
      </x:c>
      <x:c r="G30" s="38" t="str">
        <x:v>PDF p16</x:v>
      </x:c>
      <x:c r="H30" s="38" t="str"/>
    </x:row>
    <x:row r="31">
      <x:c r="A31" t="str">
        <x:v>其他应收款预期信贷损失</x:v>
      </x:c>
      <x:c r="B31" s="47" t="n">
        <x:v>-3264</x:v>
      </x:c>
      <x:c r="C31" s="47" t="n">
        <x:v>12207</x:v>
      </x:c>
      <x:c r="D31" s="47" t="n">
        <x:f>IF(OR(B31="",C31=""),"",B31-C31)</x:f>
        <x:v>-15471</x:v>
      </x:c>
      <x:c r="E31" s="20" t="n">
        <x:f>IFERROR(B31/C31-1,"")</x:f>
        <x:v>-1.2673875645121653</x:v>
      </x:c>
      <x:c r="F31" t="str">
        <x:v>人民币千元</x:v>
      </x:c>
      <x:c r="G31" s="38" t="str">
        <x:v>PDF p16</x:v>
      </x:c>
      <x:c r="H31" s="38" t="str"/>
    </x:row>
    <x:row r="32">
      <x:c r="A32" t="str">
        <x:v>存货减值</x:v>
      </x:c>
      <x:c r="B32" s="47" t="n">
        <x:v>9128</x:v>
      </x:c>
      <x:c r="C32" s="47" t="n">
        <x:v>30443</x:v>
      </x:c>
      <x:c r="D32" s="47" t="n">
        <x:f>IF(OR(B32="",C32=""),"",B32-C32)</x:f>
        <x:v>-21315</x:v>
      </x:c>
      <x:c r="E32" s="20" t="n">
        <x:f>IFERROR(B32/C32-1,"")</x:f>
        <x:v>-0.7001609565417337</x:v>
      </x:c>
      <x:c r="F32" t="str">
        <x:v>人民币千元</x:v>
      </x:c>
      <x:c r="G32" s="38" t="str">
        <x:v>PDF p16</x:v>
      </x:c>
      <x:c r="H32" s="38" t="str">
        <x:v>已包含于存货成本</x:v>
      </x:c>
    </x:row>
    <x:row r="33">
      <x:c r="A33" t="str">
        <x:v>商誉减值</x:v>
      </x:c>
      <x:c r="B33" s="47" t="n">
        <x:v>44390</x:v>
      </x:c>
      <x:c r="C33" s="47" t="n">
        <x:v>38424</x:v>
      </x:c>
      <x:c r="D33" s="47" t="n">
        <x:f>IF(OR(B33="",C33=""),"",B33-C33)</x:f>
        <x:v>5966</x:v>
      </x:c>
      <x:c r="E33" s="20" t="n">
        <x:f>IFERROR(B33/C33-1,"")</x:f>
        <x:v>0.1552675411201332</x:v>
      </x:c>
      <x:c r="F33" t="str">
        <x:v>人民币千元</x:v>
      </x:c>
      <x:c r="G33" s="38" t="str">
        <x:v>PDF p16</x:v>
      </x:c>
      <x:c r="H33" s="38" t="str"/>
    </x:row>
    <x:row r="34">
      <x:c r="A34" t="str">
        <x:v>联营公司权益减值</x:v>
      </x:c>
      <x:c r="B34" s="47" t="n">
        <x:v>0</x:v>
      </x:c>
      <x:c r="C34" s="47" t="n">
        <x:v>13647</x:v>
      </x:c>
      <x:c r="D34" s="47" t="str">
        <x:f>IF(OR(B34="",C34=""),"",B34-C34)</x:f>
      </x:c>
      <x:c r="E34" s="20" t="n">
        <x:f>IFERROR(B34/C34-1,"")</x:f>
        <x:v>-1</x:v>
      </x:c>
      <x:c r="F34" t="str">
        <x:v>人民币千元</x:v>
      </x:c>
      <x:c r="G34" s="38" t="str">
        <x:v>PDF p16</x:v>
      </x:c>
      <x:c r="H34" s="38" t="str"/>
    </x:row>
    <x:row r="35">
      <x:c r="A35" t="str">
        <x:v>PPE折旧</x:v>
      </x:c>
      <x:c r="B35" s="47" t="n">
        <x:v>58730</x:v>
      </x:c>
      <x:c r="C35" s="47" t="n">
        <x:v>64673</x:v>
      </x:c>
      <x:c r="D35" s="47" t="n">
        <x:f>IF(OR(B35="",C35=""),"",B35-C35)</x:f>
        <x:v>-5943</x:v>
      </x:c>
      <x:c r="E35" s="20" t="n">
        <x:f>IFERROR(B35/C35-1,"")</x:f>
        <x:v>-0.09189306201969916</x:v>
      </x:c>
      <x:c r="F35" t="str">
        <x:v>人民币千元</x:v>
      </x:c>
      <x:c r="G35" s="38" t="str">
        <x:v>PDF p16</x:v>
      </x:c>
      <x:c r="H35" s="38" t="str"/>
    </x:row>
    <x:row r="36">
      <x:c r="A36" t="str">
        <x:v>使用权资产折旧</x:v>
      </x:c>
      <x:c r="B36" s="47" t="n">
        <x:v>50107</x:v>
      </x:c>
      <x:c r="C36" s="47" t="n">
        <x:v>70176</x:v>
      </x:c>
      <x:c r="D36" s="47" t="n">
        <x:f>IF(OR(B36="",C36=""),"",B36-C36)</x:f>
        <x:v>-20069</x:v>
      </x:c>
      <x:c r="E36" s="20" t="n">
        <x:f>IFERROR(B36/C36-1,"")</x:f>
        <x:v>-0.28598096215230273</x:v>
      </x:c>
      <x:c r="F36" t="str">
        <x:v>人民币千元</x:v>
      </x:c>
      <x:c r="G36" s="38" t="str">
        <x:v>PDF p16</x:v>
      </x:c>
      <x:c r="H36" s="38" t="str"/>
    </x:row>
    <x:row r="37">
      <x:c r="A37" t="str">
        <x:v>投资物业折旧</x:v>
      </x:c>
      <x:c r="B37" s="47" t="n">
        <x:v>22615</x:v>
      </x:c>
      <x:c r="C37" s="47" t="n">
        <x:v>27870</x:v>
      </x:c>
      <x:c r="D37" s="47" t="n">
        <x:f>IF(OR(B37="",C37=""),"",B37-C37)</x:f>
        <x:v>-5255</x:v>
      </x:c>
      <x:c r="E37" s="20" t="n">
        <x:f>IFERROR(B37/C37-1,"")</x:f>
        <x:v>-0.18855400071761752</x:v>
      </x:c>
      <x:c r="F37" t="str">
        <x:v>人民币千元</x:v>
      </x:c>
      <x:c r="G37" s="38" t="str">
        <x:v>PDF p16</x:v>
      </x:c>
      <x:c r="H37" s="38" t="str"/>
    </x:row>
    <x:row r="38">
      <x:c r="A38" t="str">
        <x:v>无形资产摊销</x:v>
      </x:c>
      <x:c r="B38" s="47" t="n">
        <x:v>30124</x:v>
      </x:c>
      <x:c r="C38" s="47" t="n">
        <x:v>31639</x:v>
      </x:c>
      <x:c r="D38" s="47" t="n">
        <x:f>IF(OR(B38="",C38=""),"",B38-C38)</x:f>
        <x:v>-1515</x:v>
      </x:c>
      <x:c r="E38" s="20" t="n">
        <x:f>IFERROR(B38/C38-1,"")</x:f>
        <x:v>-0.04788394070609059</x:v>
      </x:c>
      <x:c r="F38" t="str">
        <x:v>人民币千元</x:v>
      </x:c>
      <x:c r="G38" s="38" t="str">
        <x:v>PDF p16</x:v>
      </x:c>
      <x:c r="H38" s="38" t="str"/>
    </x:row>
    <x:row r="39">
      <x:c r="A39" t="str">
        <x:v>短期及其他租赁费用</x:v>
      </x:c>
      <x:c r="B39" s="47" t="n">
        <x:v>29984</x:v>
      </x:c>
      <x:c r="C39" s="47" t="n">
        <x:v>32051</x:v>
      </x:c>
      <x:c r="D39" s="47" t="n">
        <x:f>IF(OR(B39="",C39=""),"",B39-C39)</x:f>
        <x:v>-2067</x:v>
      </x:c>
      <x:c r="E39" s="20" t="n">
        <x:f>IFERROR(B39/C39-1,"")</x:f>
        <x:v>-0.0644909675205142</x:v>
      </x:c>
      <x:c r="F39" t="str">
        <x:v>人民币千元</x:v>
      </x:c>
      <x:c r="G39" s="38" t="str">
        <x:v>PDF p16</x:v>
      </x:c>
      <x:c r="H39" s="38" t="str"/>
    </x:row>
    <x:row r="40">
      <x:c r="A40" t="str">
        <x:v>存货成本</x:v>
      </x:c>
      <x:c r="B40" s="47" t="n">
        <x:v>385033</x:v>
      </x:c>
      <x:c r="C40" s="47" t="n">
        <x:v>410860</x:v>
      </x:c>
      <x:c r="D40" s="47" t="n">
        <x:f>IF(OR(B40="",C40=""),"",B40-C40)</x:f>
        <x:v>-25827</x:v>
      </x:c>
      <x:c r="E40" s="20" t="n">
        <x:f>IFERROR(B40/C40-1,"")</x:f>
        <x:v>-0.06286082850606045</x:v>
      </x:c>
      <x:c r="F40" t="str">
        <x:v>人民币千元</x:v>
      </x:c>
      <x:c r="G40" s="38" t="str">
        <x:v>PDF p16</x:v>
      </x:c>
      <x:c r="H40" s="38" t="str"/>
    </x:row>
    <x:row r="41">
      <x:c r="A41" t="str">
        <x:v>外包员工成本</x:v>
      </x:c>
      <x:c r="B41" s="47" t="n">
        <x:v>3005396</x:v>
      </x:c>
      <x:c r="C41" s="47" t="n">
        <x:v>2736441</x:v>
      </x:c>
      <x:c r="D41" s="47" t="n">
        <x:f>IF(OR(B41="",C41=""),"",B41-C41)</x:f>
        <x:v>268955</x:v>
      </x:c>
      <x:c r="E41" s="20" t="n">
        <x:f>IFERROR(B41/C41-1,"")</x:f>
        <x:v>0.09828642386223563</x:v>
      </x:c>
      <x:c r="F41" t="str">
        <x:v>人民币千元</x:v>
      </x:c>
      <x:c r="G41" s="38" t="str">
        <x:v>PDF p16</x:v>
      </x:c>
      <x:c r="H41" s="38" t="str"/>
    </x:row>
    <x:row r="42">
      <x:c r="B42" s="47"/>
      <x:c r="C42" s="47"/>
      <x:c r="D42" s="47"/>
      <x:c r="E42" s="20"/>
      <x:c r="G42" s="38"/>
      <x:c r="H42" s="38"/>
    </x:row>
    <x:row r="43">
      <x:c r="B43" s="47"/>
      <x:c r="C43" s="47"/>
      <x:c r="D43" s="47"/>
      <x:c r="E43" s="20"/>
      <x:c r="G43" s="38"/>
      <x:c r="H43" s="38"/>
    </x:row>
    <x:row r="44" ht="22" customHeight="1">
      <x:c r="A44" s="13" t="str">
        <x:v>税项、每股盈利、股息与资金</x:v>
      </x:c>
      <x:c r="B44" s="55" t="str">
        <x:v>税项、每股盈利、股息与资金</x:v>
      </x:c>
      <x:c r="C44" s="55" t="str">
        <x:v>税项、每股盈利、股息与资金</x:v>
      </x:c>
      <x:c r="D44" s="55" t="str">
        <x:v>税项、每股盈利、股息与资金</x:v>
      </x:c>
      <x:c r="E44" s="50" t="str">
        <x:v>税项、每股盈利、股息与资金</x:v>
      </x:c>
      <x:c r="F44" s="13" t="str">
        <x:v>税项、每股盈利、股息与资金</x:v>
      </x:c>
      <x:c r="G44" s="54" t="str">
        <x:v>税项、每股盈利、股息与资金</x:v>
      </x:c>
      <x:c r="H44" s="54" t="str">
        <x:v>税项、每股盈利、股息与资金</x:v>
      </x:c>
    </x:row>
    <x:row r="45" ht="28" customHeight="1">
      <x:c r="A45" s="18" t="str">
        <x:v>项目</x:v>
      </x:c>
      <x:c r="B45" s="56" t="str">
        <x:v>2026H1/期末</x:v>
      </x:c>
      <x:c r="C45" s="56" t="str">
        <x:v>2025H1/期初</x:v>
      </x:c>
      <x:c r="D45" s="56" t="str">
        <x:v>变动额</x:v>
      </x:c>
      <x:c r="E45" s="51" t="str">
        <x:v>变动率</x:v>
      </x:c>
      <x:c r="F45" s="18" t="str">
        <x:v>单位</x:v>
      </x:c>
      <x:c r="G45" s="53" t="str">
        <x:v>来源</x:v>
      </x:c>
      <x:c r="H45" s="53" t="str">
        <x:v>备注</x:v>
      </x:c>
    </x:row>
    <x:row r="46">
      <x:c r="B46" s="47"/>
      <x:c r="C46" s="47"/>
      <x:c r="D46" s="47"/>
      <x:c r="E46" s="20"/>
      <x:c r="G46" s="38"/>
      <x:c r="H46" s="38"/>
    </x:row>
    <x:row r="47">
      <x:c r="A47" t="str">
        <x:v>中国即期所得税</x:v>
      </x:c>
      <x:c r="B47" s="47" t="n">
        <x:v>293867</x:v>
      </x:c>
      <x:c r="C47" s="47" t="n">
        <x:v>248482</x:v>
      </x:c>
      <x:c r="D47" s="47" t="n">
        <x:f>IF(OR(B47="",C47=""),"",B47-C47)</x:f>
        <x:v>45385</x:v>
      </x:c>
      <x:c r="E47" s="20" t="n">
        <x:f>IFERROR(B47/C47-1,"")</x:f>
        <x:v>0.18264904500124768</x:v>
      </x:c>
      <x:c r="F47" t="str">
        <x:v>人民币千元</x:v>
      </x:c>
      <x:c r="G47" s="38" t="str">
        <x:v>PDF p17</x:v>
      </x:c>
      <x:c r="H47" s="38" t="str"/>
    </x:row>
    <x:row r="48">
      <x:c r="A48" t="str">
        <x:v>中国预扣所得税</x:v>
      </x:c>
      <x:c r="B48" s="47" t="n">
        <x:v>31424</x:v>
      </x:c>
      <x:c r="C48" s="47" t="n">
        <x:v>0</x:v>
      </x:c>
      <x:c r="D48" s="47" t="str">
        <x:f>IF(OR(B48="",C48=""),"",B48-C48)</x:f>
      </x:c>
      <x:c r="E48" s="20" t="str">
        <x:f>IFERROR(B48/C48-1,"")</x:f>
      </x:c>
      <x:c r="F48" t="str">
        <x:v>人民币千元</x:v>
      </x:c>
      <x:c r="G48" s="38" t="str">
        <x:v>PDF p17</x:v>
      </x:c>
      <x:c r="H48" s="38" t="str"/>
    </x:row>
    <x:row r="49">
      <x:c r="A49" t="str">
        <x:v>递延税项</x:v>
      </x:c>
      <x:c r="B49" s="47" t="n">
        <x:v>-34491</x:v>
      </x:c>
      <x:c r="C49" s="47" t="n">
        <x:v>-21540</x:v>
      </x:c>
      <x:c r="D49" s="47" t="n">
        <x:f>IF(OR(B49="",C49=""),"",B49-C49)</x:f>
        <x:v>-12951</x:v>
      </x:c>
      <x:c r="E49" s="20" t="n">
        <x:f>IFERROR(B49/C49-1,"")</x:f>
        <x:v>0.6012534818941504</x:v>
      </x:c>
      <x:c r="F49" t="str">
        <x:v>人民币千元</x:v>
      </x:c>
      <x:c r="G49" s="38" t="str">
        <x:v>PDF p17</x:v>
      </x:c>
      <x:c r="H49" s="38" t="str"/>
    </x:row>
    <x:row r="50">
      <x:c r="A50" s="33" t="str">
        <x:v>所得税合计</x:v>
      </x:c>
      <x:c r="B50" s="59" t="n">
        <x:v>290800</x:v>
      </x:c>
      <x:c r="C50" s="59" t="n">
        <x:v>226942</x:v>
      </x:c>
      <x:c r="D50" s="59" t="n">
        <x:f>IF(OR(B50="",C50=""),"",B50-C50)</x:f>
        <x:v>63858</x:v>
      </x:c>
      <x:c r="E50" s="35" t="n">
        <x:f>IFERROR(B50/C50-1,"")</x:f>
        <x:v>0.2813846709732002</x:v>
      </x:c>
      <x:c r="F50" s="33" t="str">
        <x:v>人民币千元</x:v>
      </x:c>
      <x:c r="G50" s="39" t="str">
        <x:v>PDF p17</x:v>
      </x:c>
      <x:c r="H50" s="39" t="str"/>
    </x:row>
    <x:row r="51">
      <x:c r="A51" t="str">
        <x:v>基本EPS加权平均股数</x:v>
      </x:c>
      <x:c r="B51" s="47" t="n">
        <x:v>3134457000</x:v>
      </x:c>
      <x:c r="C51" s="47" t="n">
        <x:v>3147234000</x:v>
      </x:c>
      <x:c r="D51" s="47" t="n">
        <x:f>IF(OR(B51="",C51=""),"",B51-C51)</x:f>
        <x:v>-12777000</x:v>
      </x:c>
      <x:c r="E51" s="20" t="n">
        <x:f>IFERROR(B51/C51-1,"")</x:f>
        <x:v>-0.004059755328011838</x:v>
      </x:c>
      <x:c r="F51" t="str">
        <x:v>股</x:v>
      </x:c>
      <x:c r="G51" s="38" t="str">
        <x:v>PDF p18</x:v>
      </x:c>
      <x:c r="H51" s="38" t="str"/>
    </x:row>
    <x:row r="52">
      <x:c r="A52" t="str">
        <x:v>摊薄EPS加权平均股数</x:v>
      </x:c>
      <x:c r="B52" s="47" t="n">
        <x:v>3138448000</x:v>
      </x:c>
      <x:c r="C52" s="47" t="n">
        <x:v>3149953000</x:v>
      </x:c>
      <x:c r="D52" s="47" t="n">
        <x:f>IF(OR(B52="",C52=""),"",B52-C52)</x:f>
        <x:v>-11505000</x:v>
      </x:c>
      <x:c r="E52" s="20" t="n">
        <x:f>IFERROR(B52/C52-1,"")</x:f>
        <x:v>-0.003652435449036817</x:v>
      </x:c>
      <x:c r="F52" t="str">
        <x:v>股</x:v>
      </x:c>
      <x:c r="G52" s="38" t="str">
        <x:v>PDF p19</x:v>
      </x:c>
      <x:c r="H52" s="38" t="str"/>
    </x:row>
    <x:row r="53">
      <x:c r="A53" t="str">
        <x:v>已批准末期及特别股息</x:v>
      </x:c>
      <x:c r="B53" s="47" t="n">
        <x:v>653489</x:v>
      </x:c>
      <x:c r="C53" s="47" t="n">
        <x:v>572711</x:v>
      </x:c>
      <x:c r="D53" s="47" t="n">
        <x:f>IF(OR(B53="",C53=""),"",B53-C53)</x:f>
        <x:v>80778</x:v>
      </x:c>
      <x:c r="E53" s="20" t="n">
        <x:f>IFERROR(B53/C53-1,"")</x:f>
        <x:v>0.14104495984885923</x:v>
      </x:c>
      <x:c r="F53" t="str">
        <x:v>人民币千元</x:v>
      </x:c>
      <x:c r="G53" s="38" t="str">
        <x:v>PDF p22</x:v>
      </x:c>
      <x:c r="H53" s="38" t="str">
        <x:v>2026H1不派中期股息</x:v>
      </x:c>
    </x:row>
    <x:row r="54">
      <x:c r="A54" t="str">
        <x:v>现金及现金等价物</x:v>
      </x:c>
      <x:c r="B54" s="47" t="n">
        <x:v>4779825</x:v>
      </x:c>
      <x:c r="C54" s="47" t="n">
        <x:v>5319928</x:v>
      </x:c>
      <x:c r="D54" s="47" t="n">
        <x:f>IF(OR(B54="",C54=""),"",B54-C54)</x:f>
        <x:v>-540103</x:v>
      </x:c>
      <x:c r="E54" s="20" t="n">
        <x:f>IFERROR(B54/C54-1,"")</x:f>
        <x:v>-0.10152449431646449</x:v>
      </x:c>
      <x:c r="F54" t="str">
        <x:v>人民币千元</x:v>
      </x:c>
      <x:c r="G54" s="38" t="str">
        <x:v>PDF p5</x:v>
      </x:c>
      <x:c r="H54" s="38" t="str"/>
    </x:row>
    <x:row r="55">
      <x:c r="A55" t="str">
        <x:v>定期存款合计</x:v>
      </x:c>
      <x:c r="B55" s="47" t="n">
        <x:v>1613240</x:v>
      </x:c>
      <x:c r="C55" s="47" t="n">
        <x:v>1686599</x:v>
      </x:c>
      <x:c r="D55" s="47" t="n">
        <x:f>IF(OR(B55="",C55=""),"",B55-C55)</x:f>
        <x:v>-73359</x:v>
      </x:c>
      <x:c r="E55" s="20" t="n">
        <x:f>IFERROR(B55/C55-1,"")</x:f>
        <x:v>-0.04349522322733501</x:v>
      </x:c>
      <x:c r="F55" t="str">
        <x:v>人民币千元</x:v>
      </x:c>
      <x:c r="G55" s="38" t="str">
        <x:v>PDF p5</x:v>
      </x:c>
      <x:c r="H55" s="38" t="str">
        <x:v>非流动+流动</x:v>
      </x:c>
    </x:row>
    <x:row r="56">
      <x:c r="A56" t="str">
        <x:v>银行理财产品（摘要约数）</x:v>
      </x:c>
      <x:c r="B56" s="47" t="n">
        <x:v>165800</x:v>
      </x:c>
      <x:c r="C56" s="47"/>
      <x:c r="D56" s="47" t="str">
        <x:f>IF(OR(B56="",C56=""),"",B56-C56)</x:f>
      </x:c>
      <x:c r="E56" s="20" t="str">
        <x:f>IFERROR(B56/C56-1,"")</x:f>
      </x:c>
      <x:c r="F56" t="str">
        <x:v>人民币千元</x:v>
      </x:c>
      <x:c r="G56" s="38" t="str">
        <x:v>PDF p2</x:v>
      </x:c>
      <x:c r="H56" s="38" t="str">
        <x:v>百万元一位小数换算</x:v>
      </x:c>
    </x:row>
    <x:row r="57">
      <x:c r="A57" t="str">
        <x:v>现金及银行结余（摘要约数）</x:v>
      </x:c>
      <x:c r="B57" s="47" t="n">
        <x:v>6558800</x:v>
      </x:c>
      <x:c r="C57" s="47" t="n">
        <x:v>7061900</x:v>
      </x:c>
      <x:c r="D57" s="47" t="n">
        <x:f>IF(OR(B57="",C57=""),"",B57-C57)</x:f>
        <x:v>-503100</x:v>
      </x:c>
      <x:c r="E57" s="20" t="n">
        <x:f>IFERROR(B57/C57-1,"")</x:f>
        <x:v>-0.07124145060111298</x:v>
      </x:c>
      <x:c r="F57" t="str">
        <x:v>人民币千元</x:v>
      </x:c>
      <x:c r="G57" s="38" t="str">
        <x:v>PDF p2</x:v>
      </x:c>
      <x:c r="H57" s="38" t="str">
        <x:v>百万元一位小数换算</x:v>
      </x:c>
    </x:row>
    <x:row r="58">
      <x:c r="A58" t="str">
        <x:v>银行贷款合计</x:v>
      </x:c>
      <x:c r="B58" s="47" t="n">
        <x:v>38748</x:v>
      </x:c>
      <x:c r="C58" s="47" t="n">
        <x:v>52256</x:v>
      </x:c>
      <x:c r="D58" s="47" t="n">
        <x:f>IF(OR(B58="",C58=""),"",B58-C58)</x:f>
        <x:v>-13508</x:v>
      </x:c>
      <x:c r="E58" s="20" t="n">
        <x:f>IFERROR(B58/C58-1,"")</x:f>
        <x:v>-0.25849663196570727</x:v>
      </x:c>
      <x:c r="F58" t="str">
        <x:v>人民币千元</x:v>
      </x:c>
      <x:c r="G58" s="38" t="str">
        <x:v>PDF p6</x:v>
      </x:c>
      <x:c r="H58" s="38" t="str">
        <x:v>流动+非流动</x:v>
      </x:c>
    </x:row>
    <x:row r="59">
      <x:c r="A59" t="str">
        <x:v>抵押资产账面值</x:v>
      </x:c>
      <x:c r="B59" s="47" t="n">
        <x:v>9200</x:v>
      </x:c>
      <x:c r="C59" s="47"/>
      <x:c r="D59" s="47" t="str">
        <x:f>IF(OR(B59="",C59=""),"",B59-C59)</x:f>
      </x:c>
      <x:c r="E59" s="20" t="str">
        <x:f>IFERROR(B59/C59-1,"")</x:f>
      </x:c>
      <x:c r="F59" t="str">
        <x:v>人民币千元</x:v>
      </x:c>
      <x:c r="G59" s="38" t="str">
        <x:v>PDF p41</x:v>
      </x:c>
      <x:c r="H59" s="38" t="str">
        <x:v>为4.7百万元贷款提供抵押</x:v>
      </x:c>
    </x:row>
    <x:row r="60">
      <x:c r="A60" t="str">
        <x:v>重大或有负债</x:v>
      </x:c>
      <x:c r="B60" s="47" t="n">
        <x:v>0</x:v>
      </x:c>
      <x:c r="C60" s="47"/>
      <x:c r="D60" s="47" t="str">
        <x:f>IF(OR(B60="",C60=""),"",B60-C60)</x:f>
      </x:c>
      <x:c r="E60" s="20" t="str">
        <x:f>IFERROR(B60/C60-1,"")</x:f>
      </x:c>
      <x:c r="F60" t="str">
        <x:v>人民币千元</x:v>
      </x:c>
      <x:c r="G60" s="38" t="str">
        <x:v>PDF p41</x:v>
      </x:c>
      <x:c r="H60" s="38" t="str">
        <x:v>无重大或有负债</x:v>
      </x:c>
    </x:row>
  </x:sheetData>
  <x:mergeCells>
    <x:mergeCell ref="A1:H1"/>
    <x:mergeCell ref="A2:H2"/>
    <x:mergeCell ref="A4:H4"/>
    <x:mergeCell ref="A23:H23"/>
    <x:mergeCell ref="A44:H4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18" hidden="0" customWidth="1"/>
    <x:col min="4" max="4" width="16" hidden="0" customWidth="1"/>
    <x:col min="5" max="5" width="13" hidden="0" customWidth="1"/>
    <x:col min="6" max="6" width="12" hidden="0" customWidth="1"/>
    <x:col min="7" max="7" width="42" hidden="0" customWidth="1"/>
  </x:cols>
  <x:sheetData>
    <x:row r="1" ht="30" customHeight="1">
      <x:c r="A1" s="3" t="str">
        <x:v>数据完整性与勾稽校验</x:v>
      </x:c>
      <x:c r="B1" s="3" t="str">
        <x:v>数据完整性与勾稽校验</x:v>
      </x:c>
      <x:c r="C1" s="3" t="str">
        <x:v>数据完整性与勾稽校验</x:v>
      </x:c>
      <x:c r="D1" s="3" t="str">
        <x:v>数据完整性与勾稽校验</x:v>
      </x:c>
      <x:c r="E1" s="3" t="str">
        <x:v>数据完整性与勾稽校验</x:v>
      </x:c>
      <x:c r="F1" s="3" t="str">
        <x:v>数据完整性与勾稽校验</x:v>
      </x:c>
      <x:c r="G1" s="3" t="str">
        <x:v>数据完整性与勾稽校验</x:v>
      </x:c>
    </x:row>
    <x:row r="2" ht="26" customHeight="1">
      <x:c r="A2" s="6" t="str">
        <x:v>一行一项断言；金额容差默认0.5千元，摘要约数另设容差</x:v>
      </x:c>
      <x:c r="B2" s="6" t="str">
        <x:v>一行一项断言；金额容差默认0.5千元，摘要约数另设容差</x:v>
      </x:c>
      <x:c r="C2" s="6" t="str">
        <x:v>一行一项断言；金额容差默认0.5千元，摘要约数另设容差</x:v>
      </x:c>
      <x:c r="D2" s="6" t="str">
        <x:v>一行一项断言；金额容差默认0.5千元，摘要约数另设容差</x:v>
      </x:c>
      <x:c r="E2" s="6" t="str">
        <x:v>一行一项断言；金额容差默认0.5千元，摘要约数另设容差</x:v>
      </x:c>
      <x:c r="F2" s="6" t="str">
        <x:v>一行一项断言；金额容差默认0.5千元，摘要约数另设容差</x:v>
      </x:c>
      <x:c r="G2" s="6" t="str">
        <x:v>一行一项断言；金额容差默认0.5千元，摘要约数另设容差</x:v>
      </x:c>
    </x:row>
    <x:row r="4">
      <x:c r="A4" s="8" t="str">
        <x:v>模型状态</x:v>
      </x:c>
      <x:c r="B4" s="8" t="str">
        <x:f>IF(COUNTIF(F7:F23,"FAIL")=0,"PASS","FAIL")</x:f>
        <x:v>PASS</x:v>
      </x:c>
    </x:row>
    <x:row r="6" ht="28" customHeight="1">
      <x:c r="A6" s="18" t="str">
        <x:v>校验项</x:v>
      </x:c>
      <x:c r="B6" s="18" t="str">
        <x:v>Actual</x:v>
      </x:c>
      <x:c r="C6" s="18" t="str">
        <x:v>Expected</x:v>
      </x:c>
      <x:c r="D6" s="18" t="str">
        <x:v>Difference</x:v>
      </x:c>
      <x:c r="E6" s="18" t="str">
        <x:v>Tolerance</x:v>
      </x:c>
      <x:c r="F6" s="18" t="str">
        <x:v>Status</x:v>
      </x:c>
      <x:c r="G6" s="18" t="str">
        <x:v>说明</x:v>
      </x:c>
    </x:row>
    <x:row r="7">
      <x:c r="A7" t="str">
        <x:v>收入：利润表=业务明细合计</x:v>
      </x:c>
      <x:c r="B7" s="60" t="n">
        <x:f>'01_利润表'!B7</x:f>
        <x:v>9870856</x:v>
      </x:c>
      <x:c r="C7" s="60" t="n">
        <x:f>'04_收入与毛利'!B26</x:f>
        <x:v>9870856</x:v>
      </x:c>
      <x:c r="D7" s="47" t="n">
        <x:f>B7-C7</x:f>
        <x:v>0</x:v>
      </x:c>
      <x:c r="E7" s="47" t="n">
        <x:v>0.5</x:v>
      </x:c>
      <x:c r="F7" t="str">
        <x:f>IF(ABS(D7)&lt;=E7,"PASS","FAIL")</x:f>
        <x:v>PASS</x:v>
      </x:c>
      <x:c r="G7" t="str"/>
    </x:row>
    <x:row r="8">
      <x:c r="A8" t="str">
        <x:v>毛利=收入+销售成本</x:v>
      </x:c>
      <x:c r="B8" s="60" t="n">
        <x:f>'01_利润表'!B9</x:f>
        <x:v>1969119</x:v>
      </x:c>
      <x:c r="C8" s="60" t="n">
        <x:f>'01_利润表'!B7+'01_利润表'!B8</x:f>
        <x:v>1969119</x:v>
      </x:c>
      <x:c r="D8" s="47" t="n">
        <x:f>B8-C8</x:f>
        <x:v>0</x:v>
      </x:c>
      <x:c r="E8" s="47" t="n">
        <x:v>0.5</x:v>
      </x:c>
      <x:c r="F8" t="str">
        <x:f>IF(ABS(D8)&lt;=E8,"PASS","FAIL")</x:f>
        <x:v>PASS</x:v>
      </x:c>
      <x:c r="G8" t="str"/>
    </x:row>
    <x:row r="9">
      <x:c r="A9" t="str">
        <x:v>核心经营利润公式</x:v>
      </x:c>
      <x:c r="B9" s="60" t="n">
        <x:f>'01_利润表'!B33</x:f>
        <x:v>1249041</x:v>
      </x:c>
      <x:c r="C9" s="60" t="n">
        <x:f>'01_利润表'!B9+'01_利润表'!B12+'01_利润表'!B13</x:f>
        <x:v>1249041</x:v>
      </x:c>
      <x:c r="D9" s="47" t="n">
        <x:f>B9-C9</x:f>
        <x:v>0</x:v>
      </x:c>
      <x:c r="E9" s="47" t="n">
        <x:v>0.5</x:v>
      </x:c>
      <x:c r="F9" t="str">
        <x:f>IF(ABS(D9)&lt;=E9,"PASS","FAIL")</x:f>
        <x:v>PASS</x:v>
      </x:c>
      <x:c r="G9" t="str"/>
    </x:row>
    <x:row r="10">
      <x:c r="A10" t="str">
        <x:v>期内利润=归母+非控股</x:v>
      </x:c>
      <x:c r="B10" s="60" t="n">
        <x:f>'01_利润表'!B26</x:f>
        <x:v>723616</x:v>
      </x:c>
      <x:c r="C10" s="60" t="n">
        <x:f>'01_利润表'!B27+'01_利润表'!B28</x:f>
        <x:v>723616</x:v>
      </x:c>
      <x:c r="D10" s="47" t="n">
        <x:f>B10-C10</x:f>
        <x:v>0</x:v>
      </x:c>
      <x:c r="E10" s="47" t="n">
        <x:v>0.5</x:v>
      </x:c>
      <x:c r="F10" t="str">
        <x:f>IF(ABS(D10)&lt;=E10,"PASS","FAIL")</x:f>
        <x:v>PASS</x:v>
      </x:c>
      <x:c r="G10" t="str"/>
    </x:row>
    <x:row r="11">
      <x:c r="A11" t="str">
        <x:v>全面收益=利润+OCI</x:v>
      </x:c>
      <x:c r="B11" s="60" t="n">
        <x:f>'01_利润表'!B38</x:f>
        <x:v>684590</x:v>
      </x:c>
      <x:c r="C11" s="60" t="n">
        <x:f>'01_利润表'!B26+'01_利润表'!B37</x:f>
        <x:v>684590</x:v>
      </x:c>
      <x:c r="D11" s="47" t="n">
        <x:f>B11-C11</x:f>
        <x:v>0</x:v>
      </x:c>
      <x:c r="E11" s="47" t="n">
        <x:v>0.5</x:v>
      </x:c>
      <x:c r="F11" t="str">
        <x:f>IF(ABS(D11)&lt;=E11,"PASS","FAIL")</x:f>
        <x:v>PASS</x:v>
      </x:c>
      <x:c r="G11" t="str"/>
    </x:row>
    <x:row r="12">
      <x:c r="A12" t="str">
        <x:v>全面收益=归属合计</x:v>
      </x:c>
      <x:c r="B12" s="60" t="n">
        <x:f>'01_利润表'!B38</x:f>
        <x:v>684590</x:v>
      </x:c>
      <x:c r="C12" s="60" t="n">
        <x:f>'01_利润表'!B41</x:f>
        <x:v>684590</x:v>
      </x:c>
      <x:c r="D12" s="47" t="n">
        <x:f>B12-C12</x:f>
        <x:v>0</x:v>
      </x:c>
      <x:c r="E12" s="47" t="n">
        <x:v>0.5</x:v>
      </x:c>
      <x:c r="F12" t="str">
        <x:f>IF(ABS(D12)&lt;=E12,"PASS","FAIL")</x:f>
        <x:v>PASS</x:v>
      </x:c>
      <x:c r="G12" t="str"/>
    </x:row>
    <x:row r="13">
      <x:c r="A13" t="str">
        <x:v>资产总额=流动+非流动</x:v>
      </x:c>
      <x:c r="B13" s="60" t="n">
        <x:f>'02_资产负债表'!B30</x:f>
        <x:v>18921101</x:v>
      </x:c>
      <x:c r="C13" s="60" t="n">
        <x:f>'02_资产负债表'!B20+'02_资产负债表'!B29</x:f>
        <x:v>18921101</x:v>
      </x:c>
      <x:c r="D13" s="47" t="n">
        <x:f>B13-C13</x:f>
        <x:v>0</x:v>
      </x:c>
      <x:c r="E13" s="47" t="n">
        <x:v>0.5</x:v>
      </x:c>
      <x:c r="F13" t="str">
        <x:f>IF(ABS(D13)&lt;=E13,"PASS","FAIL")</x:f>
        <x:v>PASS</x:v>
      </x:c>
      <x:c r="G13" t="str"/>
    </x:row>
    <x:row r="14">
      <x:c r="A14" t="str">
        <x:v>资产=负债+权益</x:v>
      </x:c>
      <x:c r="B14" s="60" t="n">
        <x:f>'02_资产负债表'!B30</x:f>
        <x:v>18921101</x:v>
      </x:c>
      <x:c r="C14" s="60" t="n">
        <x:f>'02_资产负债表'!B38+'02_资产负债表'!B46+'02_资产负债表'!B53</x:f>
        <x:v>18921101</x:v>
      </x:c>
      <x:c r="D14" s="47" t="n">
        <x:f>B14-C14</x:f>
        <x:v>0</x:v>
      </x:c>
      <x:c r="E14" s="47" t="n">
        <x:v>0.5</x:v>
      </x:c>
      <x:c r="F14" t="str">
        <x:f>IF(ABS(D14)&lt;=E14,"PASS","FAIL")</x:f>
        <x:v>PASS</x:v>
      </x:c>
      <x:c r="G14" t="str"/>
    </x:row>
    <x:row r="15">
      <x:c r="A15" t="str">
        <x:v>流动资产净额勾稽</x:v>
      </x:c>
      <x:c r="B15" s="60" t="n">
        <x:f>'02_资产负债表'!B39</x:f>
        <x:v>4400624</x:v>
      </x:c>
      <x:c r="C15" s="60" t="n">
        <x:f>'02_资产负债表'!B29-'02_资产负债表'!B38</x:f>
        <x:v>4400624</x:v>
      </x:c>
      <x:c r="D15" s="47" t="n">
        <x:f>B15-C15</x:f>
        <x:v>0</x:v>
      </x:c>
      <x:c r="E15" s="47" t="n">
        <x:v>0.5</x:v>
      </x:c>
      <x:c r="F15" t="str">
        <x:f>IF(ABS(D15)&lt;=E15,"PASS","FAIL")</x:f>
        <x:v>PASS</x:v>
      </x:c>
      <x:c r="G15" t="str"/>
    </x:row>
    <x:row r="16">
      <x:c r="A16" t="str">
        <x:v>现金流净变动勾稽</x:v>
      </x:c>
      <x:c r="B16" s="60" t="n">
        <x:f>'03_现金流量表'!B37</x:f>
        <x:v>-533071</x:v>
      </x:c>
      <x:c r="C16" s="60" t="n">
        <x:f>'03_现金流量表'!B10+'03_现金流量表'!B25+'03_现金流量表'!B36</x:f>
        <x:v>-533071</x:v>
      </x:c>
      <x:c r="D16" s="47" t="n">
        <x:f>B16-C16</x:f>
        <x:v>0</x:v>
      </x:c>
      <x:c r="E16" s="47" t="n">
        <x:v>0.5</x:v>
      </x:c>
      <x:c r="F16" t="str">
        <x:f>IF(ABS(D16)&lt;=E16,"PASS","FAIL")</x:f>
        <x:v>PASS</x:v>
      </x:c>
      <x:c r="G16" t="str"/>
    </x:row>
    <x:row r="17">
      <x:c r="A17" t="str">
        <x:v>期末现金滚存</x:v>
      </x:c>
      <x:c r="B17" s="60" t="n">
        <x:f>'03_现金流量表'!B40</x:f>
        <x:v>4779825</x:v>
      </x:c>
      <x:c r="C17" s="60" t="n">
        <x:f>'03_现金流量表'!B38+'03_现金流量表'!B37+'03_现金流量表'!B39</x:f>
        <x:v>4779825</x:v>
      </x:c>
      <x:c r="D17" s="47" t="n">
        <x:f>B17-C17</x:f>
        <x:v>0</x:v>
      </x:c>
      <x:c r="E17" s="47" t="n">
        <x:v>0.5</x:v>
      </x:c>
      <x:c r="F17" t="str">
        <x:f>IF(ABS(D17)&lt;=E17,"PASS","FAIL")</x:f>
        <x:v>PASS</x:v>
      </x:c>
      <x:c r="G17" t="str"/>
    </x:row>
    <x:row r="18">
      <x:c r="A18" t="str">
        <x:v>区域外部收入合计=收入</x:v>
      </x:c>
      <x:c r="B18" s="60" t="n">
        <x:f>'05_区域分部'!B14</x:f>
        <x:v>9870856</x:v>
      </x:c>
      <x:c r="C18" s="60" t="n">
        <x:f>'01_利润表'!B7</x:f>
        <x:v>9870856</x:v>
      </x:c>
      <x:c r="D18" s="47" t="n">
        <x:f>B18-C18</x:f>
        <x:v>0</x:v>
      </x:c>
      <x:c r="E18" s="47" t="n">
        <x:v>0.5</x:v>
      </x:c>
      <x:c r="F18" t="str">
        <x:f>IF(ABS(D18)&lt;=E18,"PASS","FAIL")</x:f>
        <x:v>PASS</x:v>
      </x:c>
      <x:c r="G18" t="str"/>
    </x:row>
    <x:row r="19">
      <x:c r="A19" t="str">
        <x:v>分部利润对账至税前利润</x:v>
      </x:c>
      <x:c r="B19" s="60" t="n">
        <x:f>'05_区域分部'!B23</x:f>
        <x:v>1014416</x:v>
      </x:c>
      <x:c r="C19" s="60" t="n">
        <x:f>'01_利润表'!B24</x:f>
        <x:v>1014416</x:v>
      </x:c>
      <x:c r="D19" s="47" t="n">
        <x:f>B19-C19</x:f>
        <x:v>0</x:v>
      </x:c>
      <x:c r="E19" s="47" t="n">
        <x:v>0.5</x:v>
      </x:c>
      <x:c r="F19" t="str">
        <x:f>IF(ABS(D19)&lt;=E19,"PASS","FAIL")</x:f>
        <x:v>PASS</x:v>
      </x:c>
      <x:c r="G19" t="str"/>
    </x:row>
    <x:row r="20">
      <x:c r="A20" t="str">
        <x:v>贸易应收净额=总额-拨备</x:v>
      </x:c>
      <x:c r="B20" s="60" t="n">
        <x:f>'07_营运资本'!B9</x:f>
        <x:v>6644497</x:v>
      </x:c>
      <x:c r="C20" s="60" t="n">
        <x:f>'07_营运资本'!B7+'07_营运资本'!B8</x:f>
        <x:v>6644497</x:v>
      </x:c>
      <x:c r="D20" s="47" t="n">
        <x:f>B20-C20</x:f>
        <x:v>0</x:v>
      </x:c>
      <x:c r="E20" s="47" t="n">
        <x:v>0.5</x:v>
      </x:c>
      <x:c r="F20" t="str">
        <x:f>IF(ABS(D20)&lt;=E20,"PASS","FAIL")</x:f>
        <x:v>PASS</x:v>
      </x:c>
      <x:c r="G20" t="str"/>
    </x:row>
    <x:row r="21">
      <x:c r="A21" t="str">
        <x:v>贸易应收账龄合计=净额</x:v>
      </x:c>
      <x:c r="B21" s="60" t="n">
        <x:f>'07_营运资本'!B31</x:f>
        <x:v>6644497</x:v>
      </x:c>
      <x:c r="C21" s="60" t="n">
        <x:f>'07_营运资本'!B9</x:f>
        <x:v>6644497</x:v>
      </x:c>
      <x:c r="D21" s="47" t="n">
        <x:f>B21-C21</x:f>
        <x:v>0</x:v>
      </x:c>
      <x:c r="E21" s="47" t="n">
        <x:v>0.5</x:v>
      </x:c>
      <x:c r="F21" t="str">
        <x:f>IF(ABS(D21)&lt;=E21,"PASS","FAIL")</x:f>
        <x:v>PASS</x:v>
      </x:c>
      <x:c r="G21" t="str"/>
    </x:row>
    <x:row r="22">
      <x:c r="A22" t="str">
        <x:v>已结算应付账龄合计</x:v>
      </x:c>
      <x:c r="B22" s="60" t="n">
        <x:f>'07_营运资本'!B63</x:f>
        <x:v>1816865</x:v>
      </x:c>
      <x:c r="C22" s="60" t="n">
        <x:f>'07_营运资本'!B37</x:f>
        <x:v>1816865</x:v>
      </x:c>
      <x:c r="D22" s="47" t="n">
        <x:f>B22-C22</x:f>
        <x:v>0</x:v>
      </x:c>
      <x:c r="E22" s="47" t="n">
        <x:v>0.5</x:v>
      </x:c>
      <x:c r="F22" t="str">
        <x:f>IF(ABS(D22)&lt;=E22,"PASS","FAIL")</x:f>
        <x:v>PASS</x:v>
      </x:c>
      <x:c r="G22" t="str"/>
    </x:row>
    <x:row r="23">
      <x:c r="A23" t="str">
        <x:v>现金及银行结余摘要约数</x:v>
      </x:c>
      <x:c r="B23" s="60" t="n">
        <x:f>'00_摘要'!B16</x:f>
        <x:v>6558800</x:v>
      </x:c>
      <x:c r="C23" s="60" t="n">
        <x:f>'08_财务附注'!B54+'08_财务附注'!B55+'08_财务附注'!B56</x:f>
        <x:v>6558865</x:v>
      </x:c>
      <x:c r="D23" s="47" t="n">
        <x:f>B23-C23</x:f>
        <x:v>-65</x:v>
      </x:c>
      <x:c r="E23" s="47" t="n">
        <x:v>100</x:v>
      </x:c>
      <x:c r="F23" t="str">
        <x:f>IF(ABS(D23)&lt;=E23,"PASS","FAIL")</x:f>
        <x:v>PASS</x:v>
      </x:c>
      <x:c r="G23" t="str">
        <x:v>摘要按百万元一位小数披露</x:v>
      </x:c>
    </x:row>
  </x:sheetData>
  <x:mergeCells>
    <x:mergeCell ref="A1:G1"/>
    <x:mergeCell ref="A2:G2"/>
  </x:mergeCells>
  <x:conditionalFormatting sqref="F7:F23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68" hidden="0" customWidth="1"/>
    <x:col min="4" max="4" width="20" hidden="0" customWidth="1"/>
    <x:col min="5" max="5" width="30" hidden="0" customWidth="1"/>
    <x:col min="6" max="6" width="22" hidden="0" customWidth="1"/>
    <x:col min="7" max="7" width="40" hidden="0" customWidth="1"/>
  </x:cols>
  <x:sheetData>
    <x:row r="1" ht="30" customHeight="1">
      <x:c r="A1" s="3" t="str">
        <x:v>来源、口径与使用说明</x:v>
      </x:c>
      <x:c r="B1" s="3" t="str">
        <x:v>来源、口径与使用说明</x:v>
      </x:c>
      <x:c r="C1" s="3" t="str">
        <x:v>来源、口径与使用说明</x:v>
      </x:c>
      <x:c r="D1" s="3" t="str">
        <x:v>来源、口径与使用说明</x:v>
      </x:c>
      <x:c r="E1" s="3" t="str">
        <x:v>来源、口径与使用说明</x:v>
      </x:c>
      <x:c r="F1" s="3" t="str">
        <x:v>来源、口径与使用说明</x:v>
      </x:c>
      <x:c r="G1" s="3" t="str">
        <x:v>来源、口径与使用说明</x:v>
      </x:c>
    </x:row>
    <x:row r="2" ht="26" customHeight="1">
      <x:c r="A2" s="6" t="str">
        <x:v>本工作簿仅整理用户提供的中期业绩公告，未引入外部数据</x:v>
      </x:c>
      <x:c r="B2" s="6" t="str">
        <x:v>本工作簿仅整理用户提供的中期业绩公告，未引入外部数据</x:v>
      </x:c>
      <x:c r="C2" s="6" t="str">
        <x:v>本工作簿仅整理用户提供的中期业绩公告，未引入外部数据</x:v>
      </x:c>
      <x:c r="D2" s="6" t="str">
        <x:v>本工作簿仅整理用户提供的中期业绩公告，未引入外部数据</x:v>
      </x:c>
      <x:c r="E2" s="6" t="str">
        <x:v>本工作簿仅整理用户提供的中期业绩公告，未引入外部数据</x:v>
      </x:c>
      <x:c r="F2" s="6" t="str">
        <x:v>本工作簿仅整理用户提供的中期业绩公告，未引入外部数据</x:v>
      </x:c>
      <x:c r="G2" s="6" t="str">
        <x:v>本工作簿仅整理用户提供的中期业绩公告，未引入外部数据</x:v>
      </x:c>
    </x:row>
    <x:row r="5" ht="28" customHeight="1">
      <x:c r="A5" s="18" t="str">
        <x:v>类型</x:v>
      </x:c>
      <x:c r="B5" s="18" t="str">
        <x:v>项目</x:v>
      </x:c>
      <x:c r="C5" s="18" t="str">
        <x:v>内容/口径</x:v>
      </x:c>
      <x:c r="D5" s="18" t="str">
        <x:v>期间/时点</x:v>
      </x:c>
      <x:c r="E5" s="18" t="str">
        <x:v>来源文件</x:v>
      </x:c>
      <x:c r="F5" s="18" t="str">
        <x:v>参考</x:v>
      </x:c>
      <x:c r="G5" s="18" t="str">
        <x:v>备注</x:v>
      </x:c>
    </x:row>
    <x:row r="7" ht="44" customHeight="1">
      <x:c r="A7" s="62" t="str">
        <x:v>主来源</x:v>
      </x:c>
      <x:c r="B7" s="62" t="str">
        <x:v>业绩公告</x:v>
      </x:c>
      <x:c r="C7" s="62" t="str">
        <x:v>绿城服务集团有限公司截至2026年6月30日止六个月未经审核中期业绩公告</x:v>
      </x:c>
      <x:c r="D7" s="62" t="str">
        <x:v>2026H1</x:v>
      </x:c>
      <x:c r="E7" s="63" t="str">
        <x:v>26H1-绿城服务业绩.pdf</x:v>
      </x:c>
      <x:c r="F7" s="63" t="str">
        <x:v>p1-p44</x:v>
      </x:c>
      <x:c r="G7" s="62" t="str">
        <x:v>公告创建日期2026-08-20</x:v>
      </x:c>
    </x:row>
    <x:row r="8" ht="44" customHeight="1">
      <x:c r="A8" s="62" t="str">
        <x:v>单位</x:v>
      </x:c>
      <x:c r="B8" s="62" t="str">
        <x:v>财务报表</x:v>
      </x:c>
      <x:c r="C8" s="62" t="str">
        <x:v>除特别标注外为人民币千元</x:v>
      </x:c>
      <x:c r="D8" s="62" t="str">
        <x:v>2026H1/2025H1</x:v>
      </x:c>
      <x:c r="E8" s="63" t="str">
        <x:v>26H1-绿城服务业绩.pdf</x:v>
      </x:c>
      <x:c r="F8" s="63" t="str">
        <x:v>p3-p22</x:v>
      </x:c>
      <x:c r="G8" s="62" t="str"/>
    </x:row>
    <x:row r="9" ht="44" customHeight="1">
      <x:c r="A9" s="62" t="str">
        <x:v>对比口径</x:v>
      </x:c>
      <x:c r="B9" s="62" t="str">
        <x:v>利润表/现金流/业务数据</x:v>
      </x:c>
      <x:c r="C9" s="62" t="str">
        <x:v>2026H1对2025H1</x:v>
      </x:c>
      <x:c r="D9" s="62" t="str">
        <x:v>六个月</x:v>
      </x:c>
      <x:c r="E9" s="63" t="str">
        <x:v>26H1-绿城服务业绩.pdf</x:v>
      </x:c>
      <x:c r="F9" s="63" t="str">
        <x:v>p3-p4,p7-p8,p10-p17,p28-p41</x:v>
      </x:c>
      <x:c r="G9" s="62" t="str"/>
    </x:row>
    <x:row r="10" ht="44" customHeight="1">
      <x:c r="A10" s="62" t="str">
        <x:v>对比口径</x:v>
      </x:c>
      <x:c r="B10" s="62" t="str">
        <x:v>资产负债表</x:v>
      </x:c>
      <x:c r="C10" s="62" t="str">
        <x:v>2026-06-30对2025-12-31</x:v>
      </x:c>
      <x:c r="D10" s="62" t="str">
        <x:v>时点</x:v>
      </x:c>
      <x:c r="E10" s="63" t="str">
        <x:v>26H1-绿城服务业绩.pdf</x:v>
      </x:c>
      <x:c r="F10" s="63" t="str">
        <x:v>p5-p6,p19-p21</x:v>
      </x:c>
      <x:c r="G10" s="62" t="str"/>
    </x:row>
    <x:row r="11" ht="44" customHeight="1">
      <x:c r="A11" s="62" t="str">
        <x:v>重分类</x:v>
      </x:c>
      <x:c r="B11" s="62" t="str">
        <x:v>区域分部</x:v>
      </x:c>
      <x:c r="C11" s="62" t="str">
        <x:v>2025H1若干区域分部比较数已重新分类，以符合本期呈列；对综合财务报表无重大影响</x:v>
      </x:c>
      <x:c r="D11" s="62" t="str">
        <x:v>2025H1</x:v>
      </x:c>
      <x:c r="E11" s="63" t="str">
        <x:v>26H1-绿城服务业绩.pdf</x:v>
      </x:c>
      <x:c r="F11" s="63" t="str">
        <x:v>p14,p34</x:v>
      </x:c>
      <x:c r="G11" s="62" t="str"/>
    </x:row>
    <x:row r="12" ht="44" customHeight="1">
      <x:c r="A12" s="62" t="str">
        <x:v>定义</x:v>
      </x:c>
      <x:c r="B12" s="62" t="str">
        <x:v>核心经营利润</x:v>
      </x:c>
      <x:c r="C12" s="62" t="str">
        <x:v>毛利-销售及营销开支-行政开支；非香港财务报告准则指标</x:v>
      </x:c>
      <x:c r="D12" s="62" t="str">
        <x:v>2026H1</x:v>
      </x:c>
      <x:c r="E12" s="63" t="str">
        <x:v>26H1-绿城服务业绩.pdf</x:v>
      </x:c>
      <x:c r="F12" s="63" t="str">
        <x:v>p2</x:v>
      </x:c>
      <x:c r="G12" s="62" t="str"/>
    </x:row>
    <x:row r="13" ht="44" customHeight="1">
      <x:c r="A13" s="62" t="str">
        <x:v>精度</x:v>
      </x:c>
      <x:c r="B13" s="62" t="str">
        <x:v>业务线毛利</x:v>
      </x:c>
      <x:c r="C13" s="62" t="str">
        <x:v>三大业务线毛利只披露为人民币百万元一位小数，本簿保留约数，不反推精确值</x:v>
      </x:c>
      <x:c r="D13" s="62" t="str">
        <x:v>2026H1</x:v>
      </x:c>
      <x:c r="E13" s="63" t="str">
        <x:v>26H1-绿城服务业绩.pdf</x:v>
      </x:c>
      <x:c r="F13" s="63" t="str">
        <x:v>p33,p36,p39</x:v>
      </x:c>
      <x:c r="G13" s="62" t="str">
        <x:v>总毛利使用财务报表精确值</x:v>
      </x:c>
    </x:row>
    <x:row r="14" ht="44" customHeight="1">
      <x:c r="A14" s="62" t="str">
        <x:v>精度</x:v>
      </x:c>
      <x:c r="B14" s="62" t="str">
        <x:v>现金及银行结余</x:v>
      </x:c>
      <x:c r="C14" s="62" t="str">
        <x:v>摘要以人民币百万元一位小数披露；组成项目按公告口径整理，校验容差100千元</x:v>
      </x:c>
      <x:c r="D14" s="62" t="str">
        <x:v>2026H1</x:v>
      </x:c>
      <x:c r="E14" s="63" t="str">
        <x:v>26H1-绿城服务业绩.pdf</x:v>
      </x:c>
      <x:c r="F14" s="63" t="str">
        <x:v>p2,p32</x:v>
      </x:c>
      <x:c r="G14" s="62" t="str"/>
    </x:row>
    <x:row r="15" ht="44" customHeight="1">
      <x:c r="A15" s="62" t="str">
        <x:v>处理规则</x:v>
      </x:c>
      <x:c r="B15" s="62" t="str">
        <x:v>数值类型</x:v>
      </x:c>
      <x:c r="C15" s="62" t="str">
        <x:v>报告金额均以数值存储；同比、利润率、占比和勾稽差异均为Excel公式</x:v>
      </x:c>
      <x:c r="D15" s="62" t="str">
        <x:v>全工作簿</x:v>
      </x:c>
      <x:c r="E15" s="63" t="str">
        <x:v>26H1-绿城服务业绩.pdf</x:v>
      </x:c>
      <x:c r="F15" s="63" t="str">
        <x:v>全表</x:v>
      </x:c>
      <x:c r="G15" s="62" t="str"/>
    </x:row>
    <x:row r="16" ht="44" customHeight="1">
      <x:c r="A16" s="62" t="str">
        <x:v>处理规则</x:v>
      </x:c>
      <x:c r="B16" s="62" t="str">
        <x:v>缺失数据</x:v>
      </x:c>
      <x:c r="C16" s="62" t="str">
        <x:v>不推断缺失值；留空并在备注或来源页说明</x:v>
      </x:c>
      <x:c r="D16" s="62" t="str">
        <x:v>全工作簿</x:v>
      </x:c>
      <x:c r="E16" s="63" t="str">
        <x:v>26H1-绿城服务业绩.pdf</x:v>
      </x:c>
      <x:c r="F16" s="63" t="str">
        <x:v>全表</x:v>
      </x:c>
      <x:c r="G16" s="62" t="str"/>
    </x:row>
    <x:row r="17" ht="44" customHeight="1">
      <x:c r="A17" s="62" t="str">
        <x:v>使用说明</x:v>
      </x:c>
      <x:c r="B17" s="62" t="str">
        <x:v>颜色</x:v>
      </x:c>
      <x:c r="C17" s="62" t="str">
        <x:v>绿色字体为跨表公式；灰色文字为来源或口径说明</x:v>
      </x:c>
      <x:c r="D17" s="62" t="str">
        <x:v>全工作簿</x:v>
      </x:c>
      <x:c r="E17" s="63" t="str"/>
      <x:c r="F17" s="63" t="str"/>
      <x:c r="G17" s="62" t="str"/>
    </x:row>
  </x:sheetData>
  <x:mergeCells>
    <x:mergeCell ref="A1:G1"/>
    <x:mergeCell ref="A2:G2"/>
  </x:mergeCells>
  <x:pageMargins left="0.7" right="0.7" top="0.75" bottom="0.75" header="0.3" footer="0.3"/>
</x:worksheet>
</file>