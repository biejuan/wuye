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\skills\work\C4\26H1对标\"/>
    </mc:Choice>
  </mc:AlternateContent>
  <xr:revisionPtr revIDLastSave="0" documentId="13_ncr:1_{F1FCC6E0-FFBD-41B5-9F12-0C762A7305E4}" xr6:coauthVersionLast="47" xr6:coauthVersionMax="47" xr10:uidLastSave="{00000000-0000-0000-0000-000000000000}"/>
  <bookViews>
    <workbookView xWindow="-120" yWindow="-120" windowWidth="27135" windowHeight="16440" xr2:uid="{00000000-000D-0000-FFFF-FFFF00000000}"/>
  </bookViews>
  <sheets>
    <sheet name="年报对标数据底表" sheetId="2" r:id="rId1"/>
    <sheet name="年报对标数据底表 (2)" sheetId="3" state="hidden" r:id="rId2"/>
  </sheets>
  <calcPr calcId="191029"/>
</workbook>
</file>

<file path=xl/calcChain.xml><?xml version="1.0" encoding="utf-8"?>
<calcChain xmlns="http://schemas.openxmlformats.org/spreadsheetml/2006/main">
  <c r="J10" i="2" l="1"/>
  <c r="G83" i="2" l="1"/>
  <c r="D83" i="2"/>
  <c r="C66" i="2"/>
  <c r="C73" i="2"/>
  <c r="C28" i="2"/>
  <c r="C25" i="2"/>
  <c r="C22" i="2"/>
  <c r="G86" i="3"/>
  <c r="F86" i="3"/>
  <c r="E86" i="3"/>
  <c r="D86" i="3"/>
  <c r="C86" i="3"/>
  <c r="G83" i="3"/>
  <c r="F83" i="3"/>
  <c r="E83" i="3"/>
  <c r="D83" i="3"/>
  <c r="C83" i="3"/>
  <c r="G80" i="3"/>
  <c r="F80" i="3"/>
  <c r="E80" i="3"/>
  <c r="D80" i="3"/>
  <c r="C80" i="3"/>
  <c r="C79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4" i="3"/>
  <c r="F54" i="3"/>
  <c r="E54" i="3"/>
  <c r="D54" i="3"/>
  <c r="C54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4" i="3"/>
  <c r="F44" i="3"/>
  <c r="E44" i="3"/>
  <c r="D44" i="3"/>
  <c r="C44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4" i="3"/>
  <c r="F34" i="3"/>
  <c r="E34" i="3"/>
  <c r="D34" i="3"/>
  <c r="C34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4" i="3"/>
  <c r="F24" i="3"/>
  <c r="E24" i="3"/>
  <c r="D24" i="3"/>
  <c r="C24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J9" i="3"/>
  <c r="I9" i="3"/>
  <c r="H9" i="3"/>
  <c r="G9" i="3"/>
  <c r="F9" i="3"/>
  <c r="E9" i="3"/>
  <c r="D9" i="3"/>
  <c r="C9" i="3"/>
  <c r="G6" i="3"/>
  <c r="F6" i="3"/>
  <c r="E6" i="3"/>
  <c r="D6" i="3"/>
  <c r="C6" i="3"/>
  <c r="G1" i="3"/>
  <c r="F1" i="3"/>
  <c r="E1" i="3"/>
  <c r="D1" i="3"/>
  <c r="C1" i="3"/>
  <c r="H86" i="2"/>
  <c r="G86" i="2"/>
  <c r="F86" i="2"/>
  <c r="E86" i="2"/>
  <c r="D86" i="2"/>
  <c r="H83" i="2"/>
  <c r="F83" i="2"/>
  <c r="E83" i="2"/>
  <c r="H80" i="2"/>
  <c r="G80" i="2"/>
  <c r="F80" i="2"/>
  <c r="E80" i="2"/>
  <c r="D79" i="2"/>
  <c r="D80" i="2" s="1"/>
  <c r="H75" i="2"/>
  <c r="G75" i="2"/>
  <c r="F75" i="2"/>
  <c r="E75" i="2"/>
  <c r="D75" i="2"/>
  <c r="H74" i="2"/>
  <c r="G74" i="2"/>
  <c r="F74" i="2"/>
  <c r="E74" i="2"/>
  <c r="D74" i="2"/>
  <c r="H73" i="2"/>
  <c r="G73" i="2"/>
  <c r="F73" i="2"/>
  <c r="E73" i="2"/>
  <c r="D73" i="2"/>
  <c r="H68" i="2"/>
  <c r="G68" i="2"/>
  <c r="F68" i="2"/>
  <c r="E68" i="2"/>
  <c r="D68" i="2"/>
  <c r="H67" i="2"/>
  <c r="G67" i="2"/>
  <c r="F67" i="2"/>
  <c r="E67" i="2"/>
  <c r="D67" i="2"/>
  <c r="H66" i="2"/>
  <c r="G66" i="2"/>
  <c r="F66" i="2"/>
  <c r="E66" i="2"/>
  <c r="D66" i="2"/>
  <c r="D60" i="2"/>
  <c r="H59" i="2"/>
  <c r="H60" i="2" s="1"/>
  <c r="G59" i="2"/>
  <c r="G60" i="2" s="1"/>
  <c r="F59" i="2"/>
  <c r="E59" i="2"/>
  <c r="D59" i="2"/>
  <c r="H58" i="2"/>
  <c r="G58" i="2"/>
  <c r="F58" i="2"/>
  <c r="E58" i="2"/>
  <c r="D58" i="2"/>
  <c r="H57" i="2"/>
  <c r="G57" i="2"/>
  <c r="F57" i="2"/>
  <c r="E57" i="2"/>
  <c r="D57" i="2"/>
  <c r="H54" i="2"/>
  <c r="G54" i="2"/>
  <c r="F54" i="2"/>
  <c r="E54" i="2"/>
  <c r="D54" i="2"/>
  <c r="E50" i="2"/>
  <c r="H49" i="2"/>
  <c r="H50" i="2" s="1"/>
  <c r="G49" i="2"/>
  <c r="F49" i="2"/>
  <c r="E49" i="2"/>
  <c r="D49" i="2"/>
  <c r="D50" i="2" s="1"/>
  <c r="H48" i="2"/>
  <c r="G48" i="2"/>
  <c r="F48" i="2"/>
  <c r="E48" i="2"/>
  <c r="D48" i="2"/>
  <c r="H47" i="2"/>
  <c r="G47" i="2"/>
  <c r="F47" i="2"/>
  <c r="E47" i="2"/>
  <c r="D47" i="2"/>
  <c r="H44" i="2"/>
  <c r="G44" i="2"/>
  <c r="F44" i="2"/>
  <c r="E44" i="2"/>
  <c r="D44" i="2"/>
  <c r="H39" i="2"/>
  <c r="G39" i="2"/>
  <c r="F39" i="2"/>
  <c r="F40" i="2" s="1"/>
  <c r="E39" i="2"/>
  <c r="E40" i="2" s="1"/>
  <c r="D39" i="2"/>
  <c r="H38" i="2"/>
  <c r="G38" i="2"/>
  <c r="F38" i="2"/>
  <c r="E38" i="2"/>
  <c r="D38" i="2"/>
  <c r="D40" i="2" s="1"/>
  <c r="H37" i="2"/>
  <c r="G37" i="2"/>
  <c r="F37" i="2"/>
  <c r="E37" i="2"/>
  <c r="D37" i="2"/>
  <c r="H34" i="2"/>
  <c r="G34" i="2"/>
  <c r="F34" i="2"/>
  <c r="E34" i="2"/>
  <c r="D34" i="2"/>
  <c r="F30" i="2"/>
  <c r="H29" i="2"/>
  <c r="G29" i="2"/>
  <c r="G30" i="2" s="1"/>
  <c r="F29" i="2"/>
  <c r="E29" i="2"/>
  <c r="E30" i="2" s="1"/>
  <c r="D29" i="2"/>
  <c r="H28" i="2"/>
  <c r="H30" i="2" s="1"/>
  <c r="G28" i="2"/>
  <c r="F28" i="2"/>
  <c r="E28" i="2"/>
  <c r="D28" i="2"/>
  <c r="H27" i="2"/>
  <c r="G27" i="2"/>
  <c r="F27" i="2"/>
  <c r="E27" i="2"/>
  <c r="D27" i="2"/>
  <c r="H24" i="2"/>
  <c r="G24" i="2"/>
  <c r="F24" i="2"/>
  <c r="E24" i="2"/>
  <c r="D24" i="2"/>
  <c r="H18" i="2"/>
  <c r="H19" i="2" s="1"/>
  <c r="G18" i="2"/>
  <c r="G19" i="2" s="1"/>
  <c r="F18" i="2"/>
  <c r="F19" i="2" s="1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1" i="2"/>
  <c r="H12" i="2" s="1"/>
  <c r="G11" i="2"/>
  <c r="G12" i="2" s="1"/>
  <c r="F11" i="2"/>
  <c r="E11" i="2"/>
  <c r="D11" i="2"/>
  <c r="D12" i="2" s="1"/>
  <c r="H10" i="2"/>
  <c r="G10" i="2"/>
  <c r="F10" i="2"/>
  <c r="F12" i="2" s="1"/>
  <c r="E10" i="2"/>
  <c r="D10" i="2"/>
  <c r="L9" i="2"/>
  <c r="K9" i="2"/>
  <c r="H9" i="2"/>
  <c r="G9" i="2"/>
  <c r="F9" i="2"/>
  <c r="E9" i="2"/>
  <c r="D9" i="2"/>
  <c r="H6" i="2"/>
  <c r="G6" i="2"/>
  <c r="F6" i="2"/>
  <c r="E6" i="2"/>
  <c r="D6" i="2"/>
  <c r="E60" i="2" l="1"/>
  <c r="F60" i="2"/>
  <c r="F50" i="2"/>
  <c r="D30" i="2"/>
  <c r="G50" i="2"/>
  <c r="D19" i="2"/>
  <c r="E19" i="2"/>
  <c r="G40" i="2"/>
  <c r="E12" i="2"/>
  <c r="H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顾家珲(gujiahui01)</author>
  </authors>
  <commentList>
    <comment ref="D17" authorId="0" shapeId="0" xr:uid="{65F16D09-1F97-4B0A-BBE3-5F43C077A5CC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销售及分销开支下降8.9%、行政开支下降4.9%。AI规模化应用</t>
        </r>
      </text>
    </comment>
    <comment ref="E17" authorId="0" shapeId="0" xr:uid="{120F8880-4FB0-41EB-BE28-460FA3D29559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净利率改善来自于降本增效+业务毛利率提升</t>
        </r>
      </text>
    </comment>
    <comment ref="F17" authorId="0" shapeId="0" xr:uid="{457C2EE9-E9AC-4523-8023-EA4397C977B1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降本增效基本对冲毛利率下降</t>
        </r>
      </text>
    </comment>
    <comment ref="G17" authorId="0" shapeId="0" xr:uid="{36B23AF6-7093-4EA6-8462-B6AE0D65CB60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销售及行政费用合计同比增加约19.2%。公司将部分前后台职能转入共享中心，同时加大研发及“仟蚁集采”等平台投入</t>
        </r>
      </text>
    </comment>
    <comment ref="E22" authorId="0" shapeId="0" xr:uid="{BFB1A994-046A-436A-A58B-D4470ED0EF43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“深度响应、深度融入、深度信任”改造管家和客户关系</t>
        </r>
      </text>
    </comment>
    <comment ref="H22" authorId="0" shapeId="0" xr:uid="{97491882-8536-487A-BEFD-B6303C84694B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以“高端物业服务品牌”为定位，服务上强调零容忍清单、软硬件并重、业主监督、项目经理接待及远程、夜间和神秘访查；组织上压缩层级，形成总部—区域—项目三级管控，并通过共享平台和邻近项目资源复用提高密度效率。</t>
        </r>
      </text>
    </comment>
    <comment ref="F25" authorId="0" shapeId="0" xr:uid="{96093EBF-5FD4-4380-96C0-694809B5C16B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基础服务端推进“高保真”产品，把硬件完好、响应速度、服务价值、成本节约和客户关系纳入住宅标准
住宅平均物管费从2.47元升至2.52元/平方米/月，第三方住宅从1.95元升至2.03元</t>
        </r>
      </text>
    </comment>
    <comment ref="G30" authorId="0" shapeId="0" xr:uid="{D1855241-AF2B-44B9-92BF-9813EC0FE586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包干制毛利率由13.5%降至11.1%；公司明确将原因归于部分项目降价、退盘及人力成本高企</t>
        </r>
      </text>
    </comment>
    <comment ref="H32" authorId="0" shapeId="0" xr:uid="{8DAED532-033F-40F9-BCFE-4413E24697D5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优家+31.5%、优享生活+18.9%，但占比最大的优居家装收入-3.2%。</t>
        </r>
      </text>
    </comment>
    <comment ref="G34" authorId="0" shapeId="0" xr:uid="{CCC172B5-D2A8-4C54-9226-CFFF93409392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社区资产经营收入仅下降3.8%，居家生活及商业运营下降25.5%</t>
        </r>
      </text>
    </comment>
    <comment ref="H37" authorId="0" shapeId="0" xr:uid="{FFED9EB0-1556-4182-8C93-CEF107E771B2}">
      <text>
        <r>
          <rPr>
            <b/>
            <sz val="9"/>
            <color indexed="81"/>
            <rFont val="宋体"/>
            <charset val="134"/>
          </rPr>
          <t>顾家珲(gujiahui01):</t>
        </r>
        <r>
          <rPr>
            <sz val="9"/>
            <color indexed="81"/>
            <rFont val="宋体"/>
            <charset val="134"/>
          </rPr>
          <t xml:space="preserve">
优家+31.5%、优享生活+18.9%，但占比最大的优居家装收入-3.2%</t>
        </r>
      </text>
    </comment>
    <comment ref="D38" authorId="0" shapeId="0" xr:uid="{FA7B6D76-1552-4269-816B-13675E4B4AF2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朴邻、焕新、维修增长5.2%，但其他增值下滑明显</t>
        </r>
      </text>
    </comment>
    <comment ref="E38" authorId="0" shapeId="0" xr:uid="{83D7E705-D5DF-4431-B9D0-FAC7B3D2DE53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公司关闭亏损零售门店、精简SKU；从商品零售转向“便利+关系+场景”：生活服务采用小程序、前置仓和市集</t>
        </r>
      </text>
    </comment>
    <comment ref="F40" authorId="0" shapeId="0" xr:uid="{FA8421EE-A13C-42E9-B8EE-52F941561609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房屋经纪筛选172个重点项目；
零售退出低毛利业态，改用社区前置仓和订阅产品；
家政清理质量不稳定的第三方供应链，转向自营</t>
        </r>
      </text>
    </comment>
    <comment ref="H44" authorId="0" shapeId="0" xr:uid="{98FC06A0-8496-471E-B3D1-A132BB4172BA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母公司支持</t>
        </r>
      </text>
    </comment>
    <comment ref="E48" authorId="0" shapeId="0" xr:uid="{CE5D64CC-BD79-4FE9-AC01-B13E016F2B7E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从定制化科技项目转向规划咨询、服务咨询、标准化科技产品及运营服务</t>
        </r>
      </text>
    </comment>
    <comment ref="E66" authorId="0" shapeId="0" xr:uid="{B55AD52E-A4DC-4BA7-9F24-23579A6B02AE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其中65%是一年内账龄。说明绿城服务并未在年中大范围收费
FY25，该数值比例为26%，合理数值</t>
        </r>
      </text>
    </comment>
    <comment ref="H66" authorId="0" shapeId="0" xr:uid="{0308DCEC-36DB-4DB6-AB94-B66354C7BFAB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收费情况最优</t>
        </r>
      </text>
    </comment>
    <comment ref="H73" authorId="0" shapeId="0" xr:uid="{A4D4FFE3-2F1A-48FB-828B-EAB19B760D26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付款情况最优</t>
        </r>
      </text>
    </comment>
    <comment ref="E78" authorId="0" shapeId="0" xr:uid="{A064E6CB-DD03-4F42-AC0C-0C718ED26B95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提高项目准入、加强风险控制，并退出非核心城市及存在交付风险的储备项目</t>
        </r>
      </text>
    </comment>
    <comment ref="F78" authorId="0" shapeId="0" xr:uid="{CA39A78A-3847-4F21-B536-272048D531B3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新拓策略强调城市密度、业态能力、客户质量和投资回报</t>
        </r>
      </text>
    </comment>
    <comment ref="D80" authorId="0" shapeId="0" xr:uid="{D4ECD5EA-CE2D-4EFA-82D8-D6316D99727A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新签项目89.3%位于一二线</t>
        </r>
      </text>
    </comment>
    <comment ref="H80" authorId="0" shapeId="0" xr:uid="{F2B54751-BF58-4CB0-A9E3-720344AA276B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“聚焦杭州、深耕长三角、辐射全国、有质扩张”，并将拓展与运营一体化，以高密度、短半径提高项目协同</t>
        </r>
      </text>
    </comment>
    <comment ref="E81" authorId="0" shapeId="0" xr:uid="{FD09D86D-338C-4C49-83FF-503010DD3CB2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长三角约占在管面积58.9%、贡献约67.7%的基础物业收入，城市密度与品牌溢价是其住宅拓展的主要基础</t>
        </r>
      </text>
    </comment>
    <comment ref="G83" authorId="0" shapeId="0" xr:uid="{BBD78999-6D4C-48C7-8278-2FD04DF1722F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放缓住宅拓展。面积增长接近停滞，战略重点更多是以“3663”服务标准、分级管理和标杆项目提升续约、收费和资产保值</t>
        </r>
      </text>
    </comment>
    <comment ref="D84" authorId="0" shapeId="0" xr:uid="{35851A91-EE2F-4E06-9E0B-3C71B8333837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聚焦八大重点赛道、客户质量、合同可持续性和单项目利润</t>
        </r>
      </text>
    </comment>
    <comment ref="E84" authorId="0" shapeId="0" xr:uid="{65A6F088-706D-4FD8-8EA8-027F458E1675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上半年新增项目包括银行总部、商务中心、会展新城和高端住宅等，千万级以上项目及超高层项目数量较上年增加</t>
        </r>
      </text>
    </comment>
    <comment ref="F84" authorId="0" shapeId="0" xr:uid="{7F04AC17-3889-404D-85E4-4B18B4C67871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“星云企服”以物业管理、资产管理、企业服务一体化为产品框架，在基础服务包之外叠加团餐、导引、能源管理和资产运营等场景服务；重点集中于核心城市和金融、消费、先进制造、核能等战略客户，前十大城市贡献新拓合同额超过70%，已有7个客户的年度合同额超过1亿元。
公司把传统景区物业升级为“全域景城”，在基础服务之外加入票务、活动策划、商业运营和存量资产盘活</t>
        </r>
      </text>
    </comment>
    <comment ref="H84" authorId="0" shapeId="0" xr:uid="{87EC3FE9-9C3D-46AF-8F4B-9BF98A0027B8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住宅为主，但战略上计划沿长三角拓展商业、产业园，并延伸到城市服务、机场和公共交通</t>
        </r>
      </text>
    </comment>
    <comment ref="G86" authorId="0" shapeId="0" xr:uid="{2964E860-16AB-448D-BF53-7E9437F4A853}">
      <text>
        <r>
          <rPr>
            <b/>
            <sz val="9"/>
            <color indexed="81"/>
            <rFont val="宋体"/>
            <family val="3"/>
            <charset val="134"/>
          </rPr>
          <t>顾家珲(gujiahui01):</t>
        </r>
        <r>
          <rPr>
            <sz val="9"/>
            <color indexed="81"/>
            <rFont val="宋体"/>
            <family val="3"/>
            <charset val="134"/>
          </rPr>
          <t xml:space="preserve">
强调从前期介入、标准化运营、资源挖掘到资产运营的全生命周期能力，并以工单平台、设施运维和智慧建设支撑复制。大幅增长
91%的新签合同位于一二线城市，60%的合同年化金额超过1000万元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tc={0B193E95-057A-032B-5EE7-E6CAD69EE540}</author>
    <author>tc={89149C57-B2FA-3694-4C07-3C17419B0419}</author>
    <author>tc={9E29D327-D0F4-C8AF-F434-101AA9AEB612}</author>
    <author>tc={C568A4EB-D7C2-D778-8D6A-608D2608584D}</author>
    <author>tc={1D3248E2-0179-E264-9F57-1A861F5F0965}</author>
    <author>tc={49DE34B2-41C9-9BF3-AD25-C2E28AA59DED}</author>
    <author>tc={DE6CFFEA-4FAC-7F94-3A70-CEFB324ECD6D}</author>
    <author>tc={F97623C2-CEB9-1D32-8119-4F5B6EA22F3E}</author>
    <author>tc={595C09F0-C7B0-C0AD-F778-07F6E8367D40}</author>
    <author>tc={0FF9E3AF-050C-198C-6E3D-91664FC78E16}</author>
    <author>tc={FECC322F-F53A-05E1-0BA1-627C63F948A4}</author>
    <author>tc={72447334-9C58-9E2F-6DDA-E07D48A07C10}</author>
    <author>tc={7B77735D-E8C2-44FF-780A-17BC79F8A568}</author>
    <author>tc={76D0B763-F48C-23B3-9452-809CAA173969}</author>
    <author>tc={8AA14D40-996F-F750-2605-1B98354A2BA2}</author>
    <author>tc={A0112A85-964E-1C49-A8E3-3090B3ABC346}</author>
    <author>tc={B6BFC03A-4EE9-2394-80B1-E0047A9F5EB4}</author>
    <author>tc={E5C85F1F-5987-3BA1-B5E0-7E0532C3DBC8}</author>
    <author>tc={5424AACD-DF6E-5491-063C-2801A34283BA}</author>
    <author>tc={A4EEF9BF-2F9F-9B33-C3E8-D4C8C8F2D2AD}</author>
    <author>tc={C7A783EB-0ECF-85D7-0897-522745A4D1C5}</author>
    <author>tc={98158B62-0389-E10A-B276-AA98423E87DC}</author>
    <author>tc={B269C4B7-8D2F-0353-0508-E2CEDEF27DEC}</author>
    <author>tc={C3CBAE5B-13DF-5F83-FB4C-07276E770DDC}</author>
  </authors>
  <commentList>
    <comment ref="B77" authorId="0" shapeId="0" xr:uid="{DC326D48-3061-461E-A1D2-69059D417F65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来源：万物云S01 p14-15；绿城S04 p19；滨江S07 p15-16；中海S10 p38-39；采用2026H1贸易应收毛额。龙湖为附件应收总额，口径更宽。</t>
        </r>
      </text>
    </comment>
    <comment ref="B78" authorId="1" shapeId="0" xr:uid="{58E9C669-FA73-48C4-9187-B1A9A9A6CEF4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来源：万物云S02 p288-290；绿城S05 p233-234；滨江S08 p320-321；中海S11 p198-199。</t>
        </r>
      </text>
    </comment>
    <comment ref="C78" authorId="2" shapeId="0" xr:uid="{95D079D9-EF79-4B41-A49C-5764924A9307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D78" authorId="3" shapeId="0" xr:uid="{40076F46-1F61-44C4-BDED-CED5AFDB7DC6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来源：26H1-绿城服务业绩.pdf，p33-p34；合约面积=在管面积+储备面积。金额统一换算为人民币亿元。</t>
        </r>
      </text>
    </comment>
    <comment ref="E78" authorId="4" shapeId="0" xr:uid="{9F51DA41-B9DC-4EE6-A57D-F5619E3ABB5F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来源：26H1-保利物业业绩.pdf，p16；口径为合同管理面积。金额统一换算为人民币亿元。</t>
        </r>
      </text>
    </comment>
    <comment ref="F78" authorId="5" shapeId="0" xr:uid="{43E5BE8E-6A94-4812-9CEB-DD2EBE097F34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G78" authorId="6" shapeId="0" xr:uid="{E658E54F-7C02-4C76-9F74-A5882EE03288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来源：26H1-滨江服务业绩.pdf，p2；口径为合约面积。金额统一换算为人民币亿元。</t>
        </r>
      </text>
    </comment>
    <comment ref="B79" authorId="7" shapeId="0" xr:uid="{79FCEB02-660F-46D8-8934-4CD2862907B5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来源：万物云S01 p14-15；滨江S07 p15-16；中海S10 p38-39。绿城未披露关联贸易应收拆分，留空。龙湖为附件内部应收。</t>
        </r>
      </text>
    </comment>
    <comment ref="C79" authorId="8" shapeId="0" xr:uid="{7CB8DB64-497A-4612-933D-CCB473D1C21F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D79" authorId="9" shapeId="0" xr:uid="{5A743F2D-C67B-410F-AC1A-330E946F68BE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来源：26H1-绿城服务业绩.pdf，p33-p34；合约面积=在管面积+储备面积。金额统一换算为人民币亿元。</t>
        </r>
      </text>
    </comment>
    <comment ref="E79" authorId="10" shapeId="0" xr:uid="{239765EA-4ED8-49AD-B6C2-370600542AEC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来源：26H1-保利物业业绩.pdf，p16；口径为合同管理面积。金额统一换算为人民币亿元。</t>
        </r>
      </text>
    </comment>
    <comment ref="F79" authorId="11" shapeId="0" xr:uid="{2546F010-5700-4624-8D28-127CE624767D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G79" authorId="12" shapeId="0" xr:uid="{415EF6AB-C86D-444B-B6A2-41639326BD4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来源：26H1-滨江服务业绩.pdf，p2；口径为合约面积。金额统一换算为人民币亿元。</t>
        </r>
      </text>
    </comment>
    <comment ref="B80" authorId="13" shapeId="0" xr:uid="{0C8E153A-ADD1-46FF-99E4-5FBB6588C903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外部应收=贸易应收毛额-广义关联贸易应收；绿城因未披露关联拆分而留空。龙湖为附件外部应收。</t>
        </r>
      </text>
    </comment>
    <comment ref="C81" authorId="14" shapeId="0" xr:uid="{FF1CEFE3-B807-4982-9533-E536706AA002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F81" authorId="15" shapeId="0" xr:uid="{7AA39DFE-2479-493C-87A1-615E6A74716E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C82" authorId="16" shapeId="0" xr:uid="{C430980A-B738-413C-8D1B-259545FC2F3B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F82" authorId="17" shapeId="0" xr:uid="{123F54DC-9AD8-4E0B-B98B-EBC6DF08702F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C84" authorId="18" shapeId="0" xr:uid="{16B64D91-D4AE-41F9-B318-971BB594F419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F84" authorId="19" shapeId="0" xr:uid="{4DE6883C-BA4F-42A0-9988-194D723B29BF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B85" authorId="20" shapeId="0" xr:uid="{841C1643-5D78-43AD-98C1-628F133F7B43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来源：万物云S01 p36；绿城S04 p6；滨江及中海26H1未披露可比经营现金流净额，留空；龙湖为附件FY24经营现金流。</t>
        </r>
      </text>
    </comment>
    <comment ref="C85" authorId="21" shapeId="0" xr:uid="{B557DEFD-74E2-4991-ABFA-BA741B7D3A2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来源：26H1-万物云业绩.pdf，p30-p31；口径为合约项目数。金额统一换算为人民币亿元。</t>
        </r>
      </text>
    </comment>
    <comment ref="F85" authorId="22" shapeId="0" xr:uid="{BC559BC6-DD2A-4507-AAD4-D5813789FF73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来源：26H1-中海物业业绩.pdf，p15；口径为在管面积。金额统一换算为人民币亿元。</t>
        </r>
      </text>
    </comment>
    <comment ref="B86" authorId="23" shapeId="0" xr:uid="{1BD2F9BB-8BA2-4A25-9AD4-7C2187A5517D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来源：万物云S02 p176；绿城S05 p139；滨江S08 p240；中海S11 p134。</t>
        </r>
      </text>
    </comment>
  </commentList>
</comments>
</file>

<file path=xl/sharedStrings.xml><?xml version="1.0" encoding="utf-8"?>
<sst xmlns="http://schemas.openxmlformats.org/spreadsheetml/2006/main" count="233" uniqueCount="148">
  <si>
    <t>整体财务表现</t>
  </si>
  <si>
    <t>26H1收入</t>
  </si>
  <si>
    <t>25H1收入</t>
  </si>
  <si>
    <t>H1同比变动%</t>
  </si>
  <si>
    <t>26H1毛利额</t>
  </si>
  <si>
    <t>25H1毛利额</t>
  </si>
  <si>
    <t>26H1毛利率</t>
  </si>
  <si>
    <t>25H1毛利率</t>
  </si>
  <si>
    <t>H1变动百分点</t>
  </si>
  <si>
    <t>26H1归母净利额</t>
  </si>
  <si>
    <t>25H1归母净利额</t>
  </si>
  <si>
    <t>同比变动额</t>
  </si>
  <si>
    <t>26H1归母净利率</t>
  </si>
  <si>
    <t>25H1归母净利率</t>
  </si>
  <si>
    <t>分业务线财务表现</t>
  </si>
  <si>
    <t>基础物管（住宅+非住）</t>
  </si>
  <si>
    <t>社区增值</t>
  </si>
  <si>
    <t>非业主增值</t>
  </si>
  <si>
    <t>其他</t>
  </si>
  <si>
    <t>贸易应收款情况</t>
  </si>
  <si>
    <t>26H1应收款合计</t>
  </si>
  <si>
    <t>FY25应收款合计</t>
  </si>
  <si>
    <t>内部应收款</t>
  </si>
  <si>
    <t>外部应收款</t>
  </si>
  <si>
    <t>26H1应收款/年化收入（半年*2）</t>
  </si>
  <si>
    <t>内部应收/年化收入</t>
  </si>
  <si>
    <t>外部应收/年化收入</t>
  </si>
  <si>
    <t>贸易应付款情况</t>
  </si>
  <si>
    <t>26H1应付款合计</t>
  </si>
  <si>
    <t>内部应付款</t>
  </si>
  <si>
    <t>外部应付款</t>
  </si>
  <si>
    <t>26H1应付款/年化主营成本（半年*2）</t>
  </si>
  <si>
    <t>内部应付/年化主营成本</t>
  </si>
  <si>
    <t>外部应付/年化主营成本</t>
  </si>
  <si>
    <t>拓展盘面</t>
  </si>
  <si>
    <t>26H1合约情况</t>
  </si>
  <si>
    <t>25H1合约情况</t>
  </si>
  <si>
    <t>同比%</t>
  </si>
  <si>
    <t>其中：26H1住管-合约情况</t>
  </si>
  <si>
    <t>其中：25H1住管-合约情况</t>
  </si>
  <si>
    <t>其中：26H1商服-在管情况</t>
  </si>
  <si>
    <t>其中：25H1商服-在管情况</t>
  </si>
  <si>
    <t>开发商增值服务</t>
  </si>
  <si>
    <t>咨询服务</t>
  </si>
  <si>
    <t>非业主增值服务</t>
  </si>
  <si>
    <t>AIoT及BPaaS</t>
  </si>
  <si>
    <t>停车位买卖业务</t>
  </si>
  <si>
    <t>合约面积
（在管+储备，亿方）</t>
  </si>
  <si>
    <t>在管面积
（亿方）</t>
  </si>
  <si>
    <t>合约面积
（亿方）</t>
  </si>
  <si>
    <t>合同管理面积
（亿方）</t>
  </si>
  <si>
    <r>
      <rPr>
        <sz val="11"/>
        <color theme="0" tint="-0.14999847407452621"/>
        <rFont val="等线"/>
        <family val="3"/>
        <charset val="134"/>
      </rPr>
      <t>核验</t>
    </r>
  </si>
  <si>
    <r>
      <rPr>
        <b/>
        <sz val="11"/>
        <color theme="0"/>
        <rFont val="等线"/>
        <family val="3"/>
        <charset val="134"/>
      </rPr>
      <t>头部物企</t>
    </r>
  </si>
  <si>
    <r>
      <rPr>
        <b/>
        <sz val="11"/>
        <color theme="0"/>
        <rFont val="等线"/>
        <family val="3"/>
        <charset val="134"/>
      </rPr>
      <t xml:space="preserve">万物云
</t>
    </r>
    <r>
      <rPr>
        <b/>
        <sz val="11"/>
        <color theme="0"/>
        <rFont val="Arial"/>
        <family val="2"/>
      </rPr>
      <t>8.13</t>
    </r>
  </si>
  <si>
    <r>
      <rPr>
        <b/>
        <sz val="11"/>
        <color theme="0"/>
        <rFont val="等线"/>
        <family val="3"/>
        <charset val="134"/>
      </rPr>
      <t xml:space="preserve">绿城服务
</t>
    </r>
    <r>
      <rPr>
        <b/>
        <sz val="11"/>
        <color theme="0"/>
        <rFont val="Arial"/>
        <family val="2"/>
      </rPr>
      <t>8.21</t>
    </r>
  </si>
  <si>
    <r>
      <rPr>
        <b/>
        <sz val="11"/>
        <color theme="0"/>
        <rFont val="等线"/>
        <family val="3"/>
        <charset val="134"/>
      </rPr>
      <t xml:space="preserve">中海物业
</t>
    </r>
    <r>
      <rPr>
        <b/>
        <sz val="11"/>
        <color theme="0"/>
        <rFont val="Arial"/>
        <family val="2"/>
      </rPr>
      <t>8.20</t>
    </r>
  </si>
  <si>
    <r>
      <rPr>
        <b/>
        <sz val="11"/>
        <color theme="0"/>
        <rFont val="等线"/>
        <family val="3"/>
        <charset val="134"/>
      </rPr>
      <t xml:space="preserve">滨江服务
</t>
    </r>
    <r>
      <rPr>
        <b/>
        <sz val="11"/>
        <color theme="0"/>
        <rFont val="Arial"/>
        <family val="2"/>
      </rPr>
      <t>8.20</t>
    </r>
  </si>
  <si>
    <r>
      <rPr>
        <b/>
        <sz val="11"/>
        <color theme="0"/>
        <rFont val="等线"/>
        <family val="3"/>
        <charset val="134"/>
      </rPr>
      <t xml:space="preserve">保利物业
</t>
    </r>
    <r>
      <rPr>
        <b/>
        <sz val="11"/>
        <color theme="0"/>
        <rFont val="Arial"/>
        <family val="2"/>
      </rPr>
      <t>8.25</t>
    </r>
  </si>
  <si>
    <r>
      <rPr>
        <b/>
        <sz val="11"/>
        <color theme="0"/>
        <rFont val="等线"/>
        <family val="3"/>
        <charset val="134"/>
      </rPr>
      <t xml:space="preserve">碧桂园服务
</t>
    </r>
    <r>
      <rPr>
        <b/>
        <sz val="11"/>
        <color theme="0"/>
        <rFont val="Arial"/>
        <family val="2"/>
      </rPr>
      <t>8.26</t>
    </r>
  </si>
  <si>
    <r>
      <rPr>
        <b/>
        <sz val="11"/>
        <color theme="0"/>
        <rFont val="等线"/>
        <family val="3"/>
        <charset val="134"/>
      </rPr>
      <t xml:space="preserve">华润万象
</t>
    </r>
    <r>
      <rPr>
        <b/>
        <sz val="11"/>
        <color theme="0"/>
        <rFont val="Arial"/>
        <family val="2"/>
      </rPr>
      <t>8.28</t>
    </r>
  </si>
  <si>
    <r>
      <rPr>
        <b/>
        <sz val="11"/>
        <color theme="0"/>
        <rFont val="等线"/>
        <family val="3"/>
        <charset val="134"/>
      </rPr>
      <t>招商积余
预计</t>
    </r>
    <r>
      <rPr>
        <b/>
        <sz val="11"/>
        <color theme="0"/>
        <rFont val="Arial"/>
        <family val="2"/>
      </rPr>
      <t>8.28</t>
    </r>
  </si>
  <si>
    <r>
      <rPr>
        <b/>
        <sz val="11"/>
        <rFont val="等线"/>
        <family val="3"/>
        <charset val="134"/>
      </rPr>
      <t>整体财务表现</t>
    </r>
  </si>
  <si>
    <r>
      <t>26H1</t>
    </r>
    <r>
      <rPr>
        <b/>
        <sz val="11"/>
        <color rgb="FF000000"/>
        <rFont val="等线"/>
        <family val="3"/>
        <charset val="134"/>
      </rPr>
      <t>收入</t>
    </r>
  </si>
  <si>
    <r>
      <t>25H1</t>
    </r>
    <r>
      <rPr>
        <b/>
        <sz val="11"/>
        <color rgb="FF000000"/>
        <rFont val="等线"/>
        <family val="3"/>
        <charset val="134"/>
      </rPr>
      <t>收入</t>
    </r>
  </si>
  <si>
    <r>
      <t>H1</t>
    </r>
    <r>
      <rPr>
        <i/>
        <sz val="11"/>
        <color rgb="FF000000"/>
        <rFont val="等线"/>
        <family val="3"/>
        <charset val="134"/>
      </rPr>
      <t>同比变动</t>
    </r>
    <r>
      <rPr>
        <i/>
        <sz val="11"/>
        <color rgb="FF000000"/>
        <rFont val="Arial"/>
        <family val="2"/>
      </rPr>
      <t>%</t>
    </r>
  </si>
  <si>
    <r>
      <t>26H1</t>
    </r>
    <r>
      <rPr>
        <b/>
        <sz val="11"/>
        <color rgb="FF000000"/>
        <rFont val="等线"/>
        <family val="3"/>
        <charset val="134"/>
      </rPr>
      <t>毛利额</t>
    </r>
  </si>
  <si>
    <r>
      <t>25H1</t>
    </r>
    <r>
      <rPr>
        <b/>
        <sz val="11"/>
        <color rgb="FF000000"/>
        <rFont val="等线"/>
        <family val="3"/>
        <charset val="134"/>
      </rPr>
      <t>毛利额</t>
    </r>
  </si>
  <si>
    <r>
      <t>26H1</t>
    </r>
    <r>
      <rPr>
        <b/>
        <sz val="11"/>
        <color rgb="FF000000"/>
        <rFont val="等线"/>
        <family val="3"/>
        <charset val="134"/>
      </rPr>
      <t>毛利率</t>
    </r>
  </si>
  <si>
    <r>
      <t>25H1</t>
    </r>
    <r>
      <rPr>
        <b/>
        <sz val="11"/>
        <color rgb="FF000000"/>
        <rFont val="等线"/>
        <family val="3"/>
        <charset val="134"/>
      </rPr>
      <t>毛利率</t>
    </r>
  </si>
  <si>
    <r>
      <t>H1</t>
    </r>
    <r>
      <rPr>
        <i/>
        <sz val="11"/>
        <color rgb="FF000000"/>
        <rFont val="等线"/>
        <family val="3"/>
        <charset val="134"/>
      </rPr>
      <t>变动百分点</t>
    </r>
  </si>
  <si>
    <r>
      <t>26H1</t>
    </r>
    <r>
      <rPr>
        <b/>
        <sz val="11"/>
        <color rgb="FF000000"/>
        <rFont val="等线"/>
        <family val="3"/>
        <charset val="134"/>
      </rPr>
      <t>归母净利额</t>
    </r>
  </si>
  <si>
    <r>
      <t>25H1</t>
    </r>
    <r>
      <rPr>
        <b/>
        <sz val="11"/>
        <color rgb="FF000000"/>
        <rFont val="等线"/>
        <family val="3"/>
        <charset val="134"/>
      </rPr>
      <t>归母净利额</t>
    </r>
  </si>
  <si>
    <r>
      <rPr>
        <b/>
        <sz val="11"/>
        <color rgb="FF000000"/>
        <rFont val="等线"/>
        <family val="3"/>
        <charset val="134"/>
      </rPr>
      <t>同比变动额</t>
    </r>
  </si>
  <si>
    <r>
      <t>26H1</t>
    </r>
    <r>
      <rPr>
        <b/>
        <sz val="11"/>
        <color rgb="FF000000"/>
        <rFont val="等线"/>
        <family val="3"/>
        <charset val="134"/>
      </rPr>
      <t>归母净利率</t>
    </r>
  </si>
  <si>
    <r>
      <t>25H1</t>
    </r>
    <r>
      <rPr>
        <b/>
        <sz val="11"/>
        <color rgb="FF000000"/>
        <rFont val="等线"/>
        <family val="3"/>
        <charset val="134"/>
      </rPr>
      <t>归母净利率</t>
    </r>
  </si>
  <si>
    <r>
      <rPr>
        <b/>
        <sz val="11"/>
        <rFont val="等线"/>
        <family val="3"/>
        <charset val="134"/>
      </rPr>
      <t>分业务线财务表现</t>
    </r>
  </si>
  <si>
    <r>
      <rPr>
        <b/>
        <sz val="11"/>
        <color rgb="FF000000"/>
        <rFont val="等线"/>
        <family val="3"/>
        <charset val="134"/>
      </rPr>
      <t>基础物管（住宅</t>
    </r>
    <r>
      <rPr>
        <b/>
        <sz val="11"/>
        <color rgb="FF000000"/>
        <rFont val="Arial"/>
        <family val="2"/>
      </rPr>
      <t>+</t>
    </r>
    <r>
      <rPr>
        <b/>
        <sz val="11"/>
        <color rgb="FF000000"/>
        <rFont val="等线"/>
        <family val="3"/>
        <charset val="134"/>
      </rPr>
      <t>非住）</t>
    </r>
  </si>
  <si>
    <r>
      <rPr>
        <b/>
        <sz val="11"/>
        <color rgb="FF000000"/>
        <rFont val="等线"/>
        <family val="3"/>
        <charset val="134"/>
      </rPr>
      <t>社区增值</t>
    </r>
  </si>
  <si>
    <r>
      <rPr>
        <b/>
        <sz val="9"/>
        <color rgb="FF000000"/>
        <rFont val="等线"/>
        <family val="3"/>
        <charset val="134"/>
      </rPr>
      <t>非业主增值</t>
    </r>
  </si>
  <si>
    <r>
      <rPr>
        <sz val="9"/>
        <color rgb="FF000000"/>
        <rFont val="等线"/>
        <family val="3"/>
        <charset val="134"/>
      </rPr>
      <t>开发商增值服务</t>
    </r>
  </si>
  <si>
    <r>
      <rPr>
        <sz val="9"/>
        <color rgb="FF000000"/>
        <rFont val="等线"/>
        <family val="3"/>
        <charset val="134"/>
      </rPr>
      <t>咨询服务</t>
    </r>
  </si>
  <si>
    <r>
      <rPr>
        <sz val="9"/>
        <color rgb="FF000000"/>
        <rFont val="等线"/>
        <family val="3"/>
        <charset val="134"/>
      </rPr>
      <t>非业主增值服务</t>
    </r>
  </si>
  <si>
    <r>
      <rPr>
        <b/>
        <sz val="9"/>
        <color rgb="FF000000"/>
        <rFont val="等线"/>
        <family val="3"/>
        <charset val="134"/>
      </rPr>
      <t>其他</t>
    </r>
  </si>
  <si>
    <r>
      <t>AIoT</t>
    </r>
    <r>
      <rPr>
        <sz val="9"/>
        <color rgb="FF000000"/>
        <rFont val="等线"/>
        <family val="3"/>
        <charset val="134"/>
      </rPr>
      <t>及</t>
    </r>
    <r>
      <rPr>
        <sz val="9"/>
        <color rgb="FF000000"/>
        <rFont val="Arial"/>
        <family val="2"/>
      </rPr>
      <t>BPaaS</t>
    </r>
  </si>
  <si>
    <r>
      <rPr>
        <sz val="9"/>
        <color rgb="FF000000"/>
        <rFont val="等线"/>
        <family val="3"/>
        <charset val="134"/>
      </rPr>
      <t>停车位买卖业务</t>
    </r>
  </si>
  <si>
    <r>
      <rPr>
        <b/>
        <sz val="11"/>
        <rFont val="等线"/>
        <family val="3"/>
        <charset val="134"/>
      </rPr>
      <t>贸易应收款情况</t>
    </r>
  </si>
  <si>
    <r>
      <t>26H1</t>
    </r>
    <r>
      <rPr>
        <b/>
        <sz val="11"/>
        <color rgb="FF000000"/>
        <rFont val="等线"/>
        <family val="3"/>
        <charset val="134"/>
      </rPr>
      <t>应收款合计</t>
    </r>
  </si>
  <si>
    <r>
      <t>FY25</t>
    </r>
    <r>
      <rPr>
        <b/>
        <sz val="11"/>
        <color rgb="FF000000"/>
        <rFont val="等线"/>
        <family val="3"/>
        <charset val="134"/>
      </rPr>
      <t>应收款合计</t>
    </r>
  </si>
  <si>
    <r>
      <rPr>
        <b/>
        <sz val="11"/>
        <color rgb="FF000000"/>
        <rFont val="等线"/>
        <family val="3"/>
        <charset val="134"/>
      </rPr>
      <t>内部应收款</t>
    </r>
  </si>
  <si>
    <r>
      <rPr>
        <b/>
        <sz val="11"/>
        <color rgb="FF000000"/>
        <rFont val="等线"/>
        <family val="3"/>
        <charset val="134"/>
      </rPr>
      <t>外部应收款</t>
    </r>
  </si>
  <si>
    <r>
      <t>26H1</t>
    </r>
    <r>
      <rPr>
        <b/>
        <sz val="11"/>
        <color rgb="FF000000"/>
        <rFont val="等线"/>
        <family val="3"/>
        <charset val="134"/>
      </rPr>
      <t>应收款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年化收入（半年</t>
    </r>
    <r>
      <rPr>
        <b/>
        <sz val="11"/>
        <color rgb="FF000000"/>
        <rFont val="Arial"/>
        <family val="2"/>
      </rPr>
      <t>*2</t>
    </r>
    <r>
      <rPr>
        <b/>
        <sz val="11"/>
        <color rgb="FF000000"/>
        <rFont val="等线"/>
        <family val="3"/>
        <charset val="134"/>
      </rPr>
      <t>）</t>
    </r>
  </si>
  <si>
    <r>
      <rPr>
        <b/>
        <sz val="11"/>
        <color rgb="FF000000"/>
        <rFont val="等线"/>
        <family val="3"/>
        <charset val="134"/>
      </rPr>
      <t>内部应收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年化收入</t>
    </r>
  </si>
  <si>
    <r>
      <rPr>
        <b/>
        <sz val="11"/>
        <color rgb="FF000000"/>
        <rFont val="等线"/>
        <family val="3"/>
        <charset val="134"/>
      </rPr>
      <t>外部应收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年化收入</t>
    </r>
  </si>
  <si>
    <r>
      <rPr>
        <b/>
        <sz val="11"/>
        <rFont val="等线"/>
        <family val="3"/>
        <charset val="134"/>
      </rPr>
      <t>贸易应付款情况</t>
    </r>
  </si>
  <si>
    <r>
      <t>26H1</t>
    </r>
    <r>
      <rPr>
        <b/>
        <sz val="11"/>
        <color rgb="FF000000"/>
        <rFont val="等线"/>
        <family val="3"/>
        <charset val="134"/>
      </rPr>
      <t>应付款合计</t>
    </r>
  </si>
  <si>
    <r>
      <rPr>
        <b/>
        <sz val="11"/>
        <color rgb="FF000000"/>
        <rFont val="等线"/>
        <family val="3"/>
        <charset val="134"/>
      </rPr>
      <t>内部应付款</t>
    </r>
  </si>
  <si>
    <r>
      <rPr>
        <b/>
        <sz val="11"/>
        <color rgb="FF000000"/>
        <rFont val="等线"/>
        <family val="3"/>
        <charset val="134"/>
      </rPr>
      <t>外部应付款</t>
    </r>
  </si>
  <si>
    <r>
      <t>26H1</t>
    </r>
    <r>
      <rPr>
        <b/>
        <sz val="11"/>
        <color rgb="FF000000"/>
        <rFont val="等线"/>
        <family val="3"/>
        <charset val="134"/>
      </rPr>
      <t>应付款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年化主营成本（半年</t>
    </r>
    <r>
      <rPr>
        <b/>
        <sz val="11"/>
        <color rgb="FF000000"/>
        <rFont val="Arial"/>
        <family val="2"/>
      </rPr>
      <t>*2</t>
    </r>
    <r>
      <rPr>
        <b/>
        <sz val="11"/>
        <color rgb="FF000000"/>
        <rFont val="等线"/>
        <family val="3"/>
        <charset val="134"/>
      </rPr>
      <t>）</t>
    </r>
  </si>
  <si>
    <r>
      <rPr>
        <b/>
        <sz val="11"/>
        <color rgb="FF000000"/>
        <rFont val="等线"/>
        <family val="3"/>
        <charset val="134"/>
      </rPr>
      <t>内部应付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年化主营成本</t>
    </r>
  </si>
  <si>
    <r>
      <rPr>
        <b/>
        <sz val="11"/>
        <color rgb="FF000000"/>
        <rFont val="等线"/>
        <family val="3"/>
        <charset val="134"/>
      </rPr>
      <t>外部应付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等线"/>
        <family val="3"/>
        <charset val="134"/>
      </rPr>
      <t>年化主营成本</t>
    </r>
  </si>
  <si>
    <r>
      <rPr>
        <b/>
        <sz val="9"/>
        <color rgb="FF000000"/>
        <rFont val="等线"/>
        <family val="3"/>
        <charset val="134"/>
      </rPr>
      <t>拓展盘面</t>
    </r>
  </si>
  <si>
    <r>
      <rPr>
        <b/>
        <sz val="9"/>
        <color rgb="FF000000"/>
        <rFont val="等线"/>
        <family val="3"/>
        <charset val="134"/>
      </rPr>
      <t>合约项目数
（个）</t>
    </r>
  </si>
  <si>
    <r>
      <rPr>
        <b/>
        <sz val="9"/>
        <color rgb="FF000000"/>
        <rFont val="等线"/>
        <family val="3"/>
        <charset val="134"/>
      </rPr>
      <t>合约面积
（在管</t>
    </r>
    <r>
      <rPr>
        <b/>
        <sz val="9"/>
        <color rgb="FF000000"/>
        <rFont val="Arial"/>
        <family val="2"/>
      </rPr>
      <t>+</t>
    </r>
    <r>
      <rPr>
        <b/>
        <sz val="9"/>
        <color rgb="FF000000"/>
        <rFont val="等线"/>
        <family val="3"/>
        <charset val="134"/>
      </rPr>
      <t>储备，亿方）</t>
    </r>
  </si>
  <si>
    <r>
      <rPr>
        <b/>
        <sz val="9"/>
        <color rgb="FF000000"/>
        <rFont val="等线"/>
        <family val="3"/>
        <charset val="134"/>
      </rPr>
      <t>在管面积
（亿方）</t>
    </r>
  </si>
  <si>
    <r>
      <rPr>
        <b/>
        <sz val="9"/>
        <color rgb="FF000000"/>
        <rFont val="等线"/>
        <family val="3"/>
        <charset val="134"/>
      </rPr>
      <t>合约面积
（亿方）</t>
    </r>
  </si>
  <si>
    <r>
      <rPr>
        <b/>
        <sz val="9"/>
        <color rgb="FF000000"/>
        <rFont val="等线"/>
        <family val="3"/>
        <charset val="134"/>
      </rPr>
      <t>合同管理面积
（亿方）</t>
    </r>
  </si>
  <si>
    <r>
      <t>26H1</t>
    </r>
    <r>
      <rPr>
        <b/>
        <sz val="11"/>
        <color rgb="FF000000"/>
        <rFont val="等线"/>
        <family val="3"/>
        <charset val="134"/>
      </rPr>
      <t>合约情况</t>
    </r>
  </si>
  <si>
    <r>
      <t>25H1</t>
    </r>
    <r>
      <rPr>
        <b/>
        <sz val="11"/>
        <color rgb="FF000000"/>
        <rFont val="等线"/>
        <family val="3"/>
        <charset val="134"/>
      </rPr>
      <t>合约情况</t>
    </r>
  </si>
  <si>
    <r>
      <rPr>
        <i/>
        <sz val="11"/>
        <color rgb="FF000000"/>
        <rFont val="等线"/>
        <family val="3"/>
        <charset val="134"/>
      </rPr>
      <t>同比</t>
    </r>
    <r>
      <rPr>
        <i/>
        <sz val="11"/>
        <color rgb="FF000000"/>
        <rFont val="Arial"/>
        <family val="2"/>
      </rPr>
      <t>%</t>
    </r>
  </si>
  <si>
    <r>
      <rPr>
        <b/>
        <sz val="11"/>
        <color rgb="FF000000"/>
        <rFont val="等线"/>
        <family val="3"/>
        <charset val="134"/>
      </rPr>
      <t>其中：</t>
    </r>
    <r>
      <rPr>
        <b/>
        <sz val="11"/>
        <color rgb="FF000000"/>
        <rFont val="Arial"/>
        <family val="2"/>
      </rPr>
      <t>26H1</t>
    </r>
    <r>
      <rPr>
        <b/>
        <sz val="11"/>
        <color rgb="FF000000"/>
        <rFont val="等线"/>
        <family val="3"/>
        <charset val="134"/>
      </rPr>
      <t>住管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等线"/>
        <family val="3"/>
        <charset val="134"/>
      </rPr>
      <t>合约情况</t>
    </r>
  </si>
  <si>
    <r>
      <rPr>
        <b/>
        <sz val="11"/>
        <color rgb="FF000000"/>
        <rFont val="等线"/>
        <family val="3"/>
        <charset val="134"/>
      </rPr>
      <t>其中：</t>
    </r>
    <r>
      <rPr>
        <b/>
        <sz val="11"/>
        <color rgb="FF000000"/>
        <rFont val="Arial"/>
        <family val="2"/>
      </rPr>
      <t>25H1</t>
    </r>
    <r>
      <rPr>
        <b/>
        <sz val="11"/>
        <color rgb="FF000000"/>
        <rFont val="等线"/>
        <family val="3"/>
        <charset val="134"/>
      </rPr>
      <t>住管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等线"/>
        <family val="3"/>
        <charset val="134"/>
      </rPr>
      <t>合约情况</t>
    </r>
  </si>
  <si>
    <r>
      <rPr>
        <i/>
        <sz val="11"/>
        <color rgb="FF000000"/>
        <rFont val="等线"/>
        <family val="3"/>
        <charset val="134"/>
      </rPr>
      <t>同比变动</t>
    </r>
  </si>
  <si>
    <r>
      <rPr>
        <b/>
        <sz val="11"/>
        <color rgb="FF000000"/>
        <rFont val="等线"/>
        <family val="3"/>
        <charset val="134"/>
      </rPr>
      <t>其中：</t>
    </r>
    <r>
      <rPr>
        <b/>
        <sz val="11"/>
        <color rgb="FF000000"/>
        <rFont val="Arial"/>
        <family val="2"/>
      </rPr>
      <t>26H1</t>
    </r>
    <r>
      <rPr>
        <b/>
        <sz val="11"/>
        <color rgb="FF000000"/>
        <rFont val="等线"/>
        <family val="3"/>
        <charset val="134"/>
      </rPr>
      <t>商服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等线"/>
        <family val="3"/>
        <charset val="134"/>
      </rPr>
      <t>在管情况</t>
    </r>
  </si>
  <si>
    <r>
      <rPr>
        <b/>
        <sz val="11"/>
        <color rgb="FF000000"/>
        <rFont val="等线"/>
        <family val="3"/>
        <charset val="134"/>
      </rPr>
      <t>其中：</t>
    </r>
    <r>
      <rPr>
        <b/>
        <sz val="11"/>
        <color rgb="FF000000"/>
        <rFont val="Arial"/>
        <family val="2"/>
      </rPr>
      <t>25H1</t>
    </r>
    <r>
      <rPr>
        <b/>
        <sz val="11"/>
        <color rgb="FF000000"/>
        <rFont val="等线"/>
        <family val="3"/>
        <charset val="134"/>
      </rPr>
      <t>商服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等线"/>
        <family val="3"/>
        <charset val="134"/>
      </rPr>
      <t>在管情况</t>
    </r>
  </si>
  <si>
    <t>增收，但仅滨江服务两位数增长</t>
    <phoneticPr fontId="3" type="noConversion"/>
  </si>
  <si>
    <t>合约项目数（个）</t>
    <phoneticPr fontId="3" type="noConversion"/>
  </si>
  <si>
    <t>万物云的AIoT和BPaaS仍是故事</t>
    <phoneticPr fontId="3" type="noConversion"/>
  </si>
  <si>
    <r>
      <t xml:space="preserve">万物云
</t>
    </r>
    <r>
      <rPr>
        <sz val="11"/>
        <color theme="0"/>
        <rFont val="等线"/>
        <family val="3"/>
        <charset val="134"/>
      </rPr>
      <t>8.13</t>
    </r>
    <phoneticPr fontId="3" type="noConversion"/>
  </si>
  <si>
    <r>
      <t xml:space="preserve">绿城服务
</t>
    </r>
    <r>
      <rPr>
        <sz val="11"/>
        <color theme="0"/>
        <rFont val="等线"/>
        <family val="3"/>
        <charset val="134"/>
      </rPr>
      <t>8.21</t>
    </r>
    <phoneticPr fontId="3" type="noConversion"/>
  </si>
  <si>
    <r>
      <t xml:space="preserve">保利物业
</t>
    </r>
    <r>
      <rPr>
        <sz val="11"/>
        <color theme="0"/>
        <rFont val="等线"/>
        <family val="3"/>
        <charset val="134"/>
      </rPr>
      <t>8.25</t>
    </r>
    <phoneticPr fontId="3" type="noConversion"/>
  </si>
  <si>
    <r>
      <t xml:space="preserve">中海物业
</t>
    </r>
    <r>
      <rPr>
        <sz val="11"/>
        <color theme="0"/>
        <rFont val="等线"/>
        <family val="3"/>
        <charset val="134"/>
      </rPr>
      <t>8.20</t>
    </r>
    <phoneticPr fontId="3" type="noConversion"/>
  </si>
  <si>
    <r>
      <t xml:space="preserve">滨江服务
</t>
    </r>
    <r>
      <rPr>
        <sz val="11"/>
        <color theme="0"/>
        <rFont val="等线"/>
        <family val="3"/>
        <charset val="134"/>
      </rPr>
      <t>8.20</t>
    </r>
    <phoneticPr fontId="3" type="noConversion"/>
  </si>
  <si>
    <t>万物云/中海外部应收大幅增长</t>
    <phoneticPr fontId="3" type="noConversion"/>
  </si>
  <si>
    <t>基础物管提价难、收费难。中海披露降价压力，万物云披露收费率问题；滨江有10个项目提价且平均单价仍达4.18元，定价能力分化</t>
    <phoneticPr fontId="3" type="noConversion"/>
  </si>
  <si>
    <t>C4</t>
    <phoneticPr fontId="3" type="noConversion"/>
  </si>
  <si>
    <t>签约面积
（万方）</t>
    <phoneticPr fontId="3" type="noConversion"/>
  </si>
  <si>
    <t>5S增值服务</t>
    <phoneticPr fontId="3" type="noConversion"/>
  </si>
  <si>
    <t>净利率下降小于毛利率。万物云、保利降本增效动作显著。绿城净利增长来自降本增效+业务毛利率（尤其是咨询）提升</t>
    <phoneticPr fontId="3" type="noConversion"/>
  </si>
  <si>
    <t>绿城咨询服务增长；其他为母公司房企支持</t>
    <phoneticPr fontId="3" type="noConversion"/>
  </si>
  <si>
    <t>25%是优秀水平基准，绿城H1不大幅收费。滨江最优</t>
    <phoneticPr fontId="3" type="noConversion"/>
  </si>
  <si>
    <t>应付占用是普遍问题。滨江、保利长账龄；滨江最优</t>
    <phoneticPr fontId="3" type="noConversion"/>
  </si>
  <si>
    <t>万物梁行、中海主打高端写字楼</t>
    <phoneticPr fontId="3" type="noConversion"/>
  </si>
  <si>
    <t>区域聚焦、品质项目聚焦、退场</t>
    <phoneticPr fontId="3" type="noConversion"/>
  </si>
  <si>
    <t>社区增值收入普降；万物云资产+增长，其他下滑；中海零售业务自营转平台；绿城关停亏损零售门店+精简SKU；保利转向美居家装、房屋修缮</t>
    <phoneticPr fontId="3" type="noConversion"/>
  </si>
  <si>
    <t>碧桂园服务
8.26</t>
    <phoneticPr fontId="3" type="noConversion"/>
  </si>
  <si>
    <t>华润万象
8.28</t>
    <phoneticPr fontId="3" type="noConversion"/>
  </si>
  <si>
    <t>招商积余
预计8.28</t>
    <phoneticPr fontId="3" type="noConversion"/>
  </si>
  <si>
    <r>
      <t xml:space="preserve">公司
</t>
    </r>
    <r>
      <rPr>
        <sz val="11"/>
        <color theme="0"/>
        <rFont val="等线"/>
        <family val="3"/>
        <charset val="134"/>
      </rPr>
      <t>截至26H1，单位：亿元</t>
    </r>
    <phoneticPr fontId="3" type="noConversion"/>
  </si>
  <si>
    <t>毛利率承压，增收不增利；绿城为咨询提升+主动关停亏损零售门店等</t>
    <phoneticPr fontId="3" type="noConversion"/>
  </si>
  <si>
    <t>平均10%。万物云靠蝶城；绿城+滨江靠品质；保利+中海靠商服</t>
    <phoneticPr fontId="3" type="noConversion"/>
  </si>
  <si>
    <t>住宅+商服大飞轮</t>
    <phoneticPr fontId="3" type="noConversion"/>
  </si>
  <si>
    <t>说明</t>
    <phoneticPr fontId="3" type="noConversion"/>
  </si>
  <si>
    <t>美居飞轮</t>
    <phoneticPr fontId="3" type="noConversion"/>
  </si>
  <si>
    <t>优选飞轮</t>
    <phoneticPr fontId="3" type="noConversion"/>
  </si>
  <si>
    <t>租售飞轮</t>
    <phoneticPr fontId="3" type="noConversion"/>
  </si>
  <si>
    <t>万物云资产相关的业务在蝶城下高增长；绿城关停亏损门店、精简SKU；保利退出低毛利业态，转为前置仓</t>
    <phoneticPr fontId="3" type="noConversion"/>
  </si>
  <si>
    <t>开发商增值普降，咨询服务逆势上升</t>
    <phoneticPr fontId="3" type="noConversion"/>
  </si>
  <si>
    <t>总体增长是个位数。但分化明显。万物云聚焦一二线+蝶城；滨江外拓快，但带来毛利降低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</si>
</sst>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;[Red]\(0.00\);\-"/>
    <numFmt numFmtId="177" formatCode="0.0%;[Red]\(0.0%\);\-"/>
    <numFmt numFmtId="178" formatCode="0.0;[Red]\(0.0\);\-"/>
    <numFmt numFmtId="179" formatCode="0.0%"/>
    <numFmt numFmtId="180" formatCode="_ * #,##0_ ;_ * \-#,##0_ ;_ * &quot;-&quot;??_ ;_ @_ "/>
    <numFmt numFmtId="181" formatCode="0.0\ &quot;pct&quot;;[Red]\(0.0\ &quot;pct&quot;\);\-"/>
    <numFmt numFmtId="182" formatCode="#,##0;[Red]\(#,##0\);\-"/>
  </numFmts>
  <fonts count="29">
    <font>
      <sz val="11"/>
      <name val="Carlito"/>
    </font>
    <font>
      <sz val="11"/>
      <color theme="1"/>
      <name val="Calibri"/>
      <family val="2"/>
    </font>
    <font>
      <sz val="11"/>
      <name val="Carlito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b/>
      <sz val="11"/>
      <color theme="0"/>
      <name val="等线"/>
      <family val="3"/>
      <charset val="134"/>
    </font>
    <font>
      <b/>
      <sz val="11"/>
      <name val="等线"/>
      <family val="3"/>
      <charset val="134"/>
    </font>
    <font>
      <i/>
      <sz val="11"/>
      <color rgb="FF000000"/>
      <name val="等线"/>
      <family val="3"/>
      <charset val="134"/>
    </font>
    <font>
      <i/>
      <sz val="11"/>
      <name val="等线"/>
      <family val="3"/>
      <charset val="134"/>
    </font>
    <font>
      <sz val="11"/>
      <color theme="0" tint="-0.14999847407452621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11"/>
      <color theme="0" tint="-0.1499984740745262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98">
    <xf numFmtId="0" fontId="0" fillId="0" borderId="0" xfId="0"/>
    <xf numFmtId="0" fontId="6" fillId="0" borderId="0" xfId="0" applyFont="1"/>
    <xf numFmtId="0" fontId="8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vertical="center"/>
    </xf>
    <xf numFmtId="0" fontId="9" fillId="0" borderId="1" xfId="1" applyFont="1" applyBorder="1" applyAlignment="1">
      <alignment horizontal="right" vertical="center" wrapText="1"/>
    </xf>
    <xf numFmtId="0" fontId="10" fillId="0" borderId="0" xfId="0" applyFont="1"/>
    <xf numFmtId="178" fontId="4" fillId="0" borderId="1" xfId="1" applyNumberFormat="1" applyFont="1" applyBorder="1" applyAlignment="1">
      <alignment horizontal="right" vertical="center"/>
    </xf>
    <xf numFmtId="178" fontId="5" fillId="0" borderId="1" xfId="1" applyNumberFormat="1" applyFont="1" applyBorder="1" applyAlignment="1">
      <alignment horizontal="right" vertical="center"/>
    </xf>
    <xf numFmtId="0" fontId="5" fillId="5" borderId="1" xfId="1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/>
    </xf>
    <xf numFmtId="0" fontId="5" fillId="3" borderId="1" xfId="1" applyFont="1" applyFill="1" applyBorder="1" applyAlignment="1">
      <alignment vertical="center" wrapText="1"/>
    </xf>
    <xf numFmtId="178" fontId="5" fillId="3" borderId="1" xfId="1" applyNumberFormat="1" applyFont="1" applyFill="1" applyBorder="1" applyAlignment="1">
      <alignment horizontal="right" vertical="center"/>
    </xf>
    <xf numFmtId="0" fontId="7" fillId="6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8" fillId="0" borderId="0" xfId="0" applyFont="1"/>
    <xf numFmtId="0" fontId="4" fillId="5" borderId="1" xfId="1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81" fontId="9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 indent="1"/>
    </xf>
    <xf numFmtId="0" fontId="14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center" vertical="center"/>
    </xf>
    <xf numFmtId="0" fontId="15" fillId="0" borderId="0" xfId="0" applyFont="1"/>
    <xf numFmtId="0" fontId="16" fillId="6" borderId="1" xfId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vertical="center" wrapText="1"/>
    </xf>
    <xf numFmtId="0" fontId="17" fillId="4" borderId="1" xfId="1" applyFont="1" applyFill="1" applyBorder="1" applyAlignment="1">
      <alignment vertical="center"/>
    </xf>
    <xf numFmtId="0" fontId="18" fillId="2" borderId="1" xfId="1" applyFont="1" applyFill="1" applyBorder="1" applyAlignment="1">
      <alignment horizontal="left" vertical="center" wrapText="1" indent="1"/>
    </xf>
    <xf numFmtId="178" fontId="18" fillId="2" borderId="1" xfId="1" applyNumberFormat="1" applyFont="1" applyFill="1" applyBorder="1" applyAlignment="1">
      <alignment horizontal="right" vertical="center"/>
    </xf>
    <xf numFmtId="0" fontId="18" fillId="0" borderId="1" xfId="1" applyFont="1" applyBorder="1" applyAlignment="1">
      <alignment horizontal="left" vertical="center" wrapText="1" indent="1"/>
    </xf>
    <xf numFmtId="178" fontId="19" fillId="0" borderId="1" xfId="1" applyNumberFormat="1" applyFont="1" applyBorder="1" applyAlignment="1">
      <alignment horizontal="right" vertical="center"/>
    </xf>
    <xf numFmtId="0" fontId="20" fillId="0" borderId="1" xfId="1" applyFont="1" applyBorder="1" applyAlignment="1">
      <alignment horizontal="right" vertical="center" wrapText="1"/>
    </xf>
    <xf numFmtId="177" fontId="20" fillId="0" borderId="1" xfId="0" applyNumberFormat="1" applyFont="1" applyBorder="1" applyAlignment="1">
      <alignment horizontal="right" vertical="center"/>
    </xf>
    <xf numFmtId="177" fontId="20" fillId="0" borderId="1" xfId="1" applyNumberFormat="1" applyFont="1" applyBorder="1" applyAlignment="1">
      <alignment horizontal="right" vertical="center"/>
    </xf>
    <xf numFmtId="0" fontId="21" fillId="0" borderId="0" xfId="0" applyFont="1"/>
    <xf numFmtId="178" fontId="18" fillId="0" borderId="1" xfId="1" applyNumberFormat="1" applyFont="1" applyBorder="1" applyAlignment="1">
      <alignment horizontal="right" vertical="center"/>
    </xf>
    <xf numFmtId="177" fontId="18" fillId="2" borderId="1" xfId="0" applyNumberFormat="1" applyFont="1" applyFill="1" applyBorder="1" applyAlignment="1">
      <alignment horizontal="right" vertical="center"/>
    </xf>
    <xf numFmtId="177" fontId="18" fillId="2" borderId="1" xfId="1" applyNumberFormat="1" applyFont="1" applyFill="1" applyBorder="1" applyAlignment="1">
      <alignment horizontal="right" vertical="center"/>
    </xf>
    <xf numFmtId="177" fontId="18" fillId="0" borderId="1" xfId="0" applyNumberFormat="1" applyFont="1" applyBorder="1" applyAlignment="1">
      <alignment horizontal="right" vertical="center"/>
    </xf>
    <xf numFmtId="177" fontId="18" fillId="0" borderId="1" xfId="1" applyNumberFormat="1" applyFont="1" applyBorder="1" applyAlignment="1">
      <alignment horizontal="right" vertical="center"/>
    </xf>
    <xf numFmtId="181" fontId="20" fillId="0" borderId="1" xfId="0" applyNumberFormat="1" applyFont="1" applyBorder="1" applyAlignment="1">
      <alignment horizontal="right" vertical="center"/>
    </xf>
    <xf numFmtId="0" fontId="18" fillId="5" borderId="1" xfId="1" applyFont="1" applyFill="1" applyBorder="1" applyAlignment="1">
      <alignment vertical="center" wrapText="1"/>
    </xf>
    <xf numFmtId="0" fontId="18" fillId="5" borderId="1" xfId="1" applyFont="1" applyFill="1" applyBorder="1" applyAlignment="1">
      <alignment vertical="center"/>
    </xf>
    <xf numFmtId="0" fontId="22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5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vertical="center" wrapText="1"/>
    </xf>
    <xf numFmtId="0" fontId="18" fillId="3" borderId="1" xfId="1" applyFont="1" applyFill="1" applyBorder="1" applyAlignment="1">
      <alignment vertical="center" wrapText="1"/>
    </xf>
    <xf numFmtId="178" fontId="18" fillId="3" borderId="1" xfId="1" applyNumberFormat="1" applyFont="1" applyFill="1" applyBorder="1" applyAlignment="1">
      <alignment horizontal="right" vertical="center"/>
    </xf>
    <xf numFmtId="179" fontId="18" fillId="2" borderId="1" xfId="3" applyNumberFormat="1" applyFont="1" applyFill="1" applyBorder="1" applyAlignment="1">
      <alignment horizontal="right" vertical="center"/>
    </xf>
    <xf numFmtId="0" fontId="17" fillId="0" borderId="0" xfId="0" applyFont="1"/>
    <xf numFmtId="0" fontId="22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left" vertical="center" wrapText="1"/>
    </xf>
    <xf numFmtId="180" fontId="18" fillId="2" borderId="1" xfId="2" applyNumberFormat="1" applyFont="1" applyFill="1" applyBorder="1" applyAlignment="1">
      <alignment horizontal="right" vertical="center"/>
    </xf>
    <xf numFmtId="176" fontId="18" fillId="2" borderId="1" xfId="1" applyNumberFormat="1" applyFont="1" applyFill="1" applyBorder="1" applyAlignment="1">
      <alignment horizontal="right" vertical="center"/>
    </xf>
    <xf numFmtId="0" fontId="18" fillId="0" borderId="1" xfId="1" applyFont="1" applyBorder="1" applyAlignment="1">
      <alignment horizontal="left" vertical="center" wrapText="1"/>
    </xf>
    <xf numFmtId="180" fontId="15" fillId="0" borderId="0" xfId="2" applyNumberFormat="1" applyFont="1" applyAlignment="1"/>
    <xf numFmtId="176" fontId="18" fillId="0" borderId="1" xfId="1" applyNumberFormat="1" applyFont="1" applyBorder="1" applyAlignment="1">
      <alignment horizontal="right" vertical="center"/>
    </xf>
    <xf numFmtId="182" fontId="20" fillId="0" borderId="1" xfId="0" applyNumberFormat="1" applyFont="1" applyBorder="1" applyAlignment="1">
      <alignment horizontal="right" vertical="center"/>
    </xf>
    <xf numFmtId="176" fontId="20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7" borderId="1" xfId="1" applyFont="1" applyFill="1" applyBorder="1" applyAlignment="1">
      <alignment horizontal="left" vertical="center" wrapText="1" indent="1"/>
    </xf>
    <xf numFmtId="178" fontId="5" fillId="7" borderId="1" xfId="1" applyNumberFormat="1" applyFont="1" applyFill="1" applyBorder="1" applyAlignment="1">
      <alignment horizontal="right" vertical="center"/>
    </xf>
    <xf numFmtId="177" fontId="5" fillId="7" borderId="1" xfId="0" applyNumberFormat="1" applyFont="1" applyFill="1" applyBorder="1" applyAlignment="1">
      <alignment horizontal="right" vertical="center"/>
    </xf>
    <xf numFmtId="0" fontId="5" fillId="7" borderId="1" xfId="1" applyFont="1" applyFill="1" applyBorder="1" applyAlignment="1">
      <alignment vertical="center" wrapText="1"/>
    </xf>
    <xf numFmtId="0" fontId="5" fillId="8" borderId="1" xfId="1" applyFont="1" applyFill="1" applyBorder="1" applyAlignment="1">
      <alignment vertical="center" wrapText="1"/>
    </xf>
    <xf numFmtId="177" fontId="5" fillId="8" borderId="1" xfId="0" applyNumberFormat="1" applyFont="1" applyFill="1" applyBorder="1" applyAlignment="1">
      <alignment horizontal="right" vertical="center"/>
    </xf>
    <xf numFmtId="178" fontId="5" fillId="8" borderId="1" xfId="1" applyNumberFormat="1" applyFont="1" applyFill="1" applyBorder="1" applyAlignment="1">
      <alignment horizontal="right" vertical="center"/>
    </xf>
    <xf numFmtId="0" fontId="5" fillId="8" borderId="1" xfId="1" applyFont="1" applyFill="1" applyBorder="1" applyAlignment="1">
      <alignment horizontal="left" vertical="center" wrapText="1"/>
    </xf>
    <xf numFmtId="180" fontId="5" fillId="8" borderId="1" xfId="2" applyNumberFormat="1" applyFont="1" applyFill="1" applyBorder="1" applyAlignment="1">
      <alignment horizontal="right" vertical="center"/>
    </xf>
    <xf numFmtId="176" fontId="5" fillId="8" borderId="1" xfId="1" applyNumberFormat="1" applyFont="1" applyFill="1" applyBorder="1" applyAlignment="1">
      <alignment horizontal="right" vertical="center"/>
    </xf>
    <xf numFmtId="180" fontId="6" fillId="8" borderId="0" xfId="2" applyNumberFormat="1" applyFont="1" applyFill="1" applyAlignment="1"/>
    <xf numFmtId="0" fontId="5" fillId="8" borderId="1" xfId="1" applyFont="1" applyFill="1" applyBorder="1" applyAlignment="1">
      <alignment horizontal="left" vertical="center" wrapText="1" indent="1"/>
    </xf>
    <xf numFmtId="182" fontId="9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0" fillId="4" borderId="1" xfId="1" applyFont="1" applyFill="1" applyBorder="1" applyAlignment="1">
      <alignment horizontal="left" vertical="center" wrapText="1"/>
    </xf>
    <xf numFmtId="178" fontId="9" fillId="7" borderId="1" xfId="1" applyNumberFormat="1" applyFont="1" applyFill="1" applyBorder="1" applyAlignment="1">
      <alignment horizontal="left" vertical="center" wrapText="1"/>
    </xf>
    <xf numFmtId="178" fontId="9" fillId="0" borderId="1" xfId="1" applyNumberFormat="1" applyFont="1" applyBorder="1" applyAlignment="1">
      <alignment horizontal="left" vertical="center" wrapText="1"/>
    </xf>
    <xf numFmtId="177" fontId="9" fillId="0" borderId="1" xfId="0" applyNumberFormat="1" applyFont="1" applyBorder="1" applyAlignment="1">
      <alignment horizontal="left" vertical="center" wrapText="1"/>
    </xf>
    <xf numFmtId="177" fontId="9" fillId="7" borderId="1" xfId="0" applyNumberFormat="1" applyFont="1" applyFill="1" applyBorder="1" applyAlignment="1">
      <alignment horizontal="left" vertical="center" wrapText="1"/>
    </xf>
    <xf numFmtId="181" fontId="9" fillId="0" borderId="1" xfId="0" applyNumberFormat="1" applyFont="1" applyBorder="1" applyAlignment="1">
      <alignment horizontal="left" vertical="center" wrapText="1"/>
    </xf>
    <xf numFmtId="0" fontId="9" fillId="5" borderId="1" xfId="1" applyFont="1" applyFill="1" applyBorder="1" applyAlignment="1">
      <alignment horizontal="left" vertical="center" wrapText="1"/>
    </xf>
    <xf numFmtId="178" fontId="9" fillId="3" borderId="1" xfId="1" applyNumberFormat="1" applyFont="1" applyFill="1" applyBorder="1" applyAlignment="1">
      <alignment horizontal="left" vertical="center" wrapText="1"/>
    </xf>
    <xf numFmtId="177" fontId="9" fillId="8" borderId="1" xfId="0" applyNumberFormat="1" applyFont="1" applyFill="1" applyBorder="1" applyAlignment="1">
      <alignment horizontal="left" vertical="center" wrapText="1"/>
    </xf>
    <xf numFmtId="178" fontId="9" fillId="8" borderId="1" xfId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176" fontId="9" fillId="8" borderId="1" xfId="1" applyNumberFormat="1" applyFont="1" applyFill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6">
    <cellStyle name="Normal" xfId="1" xr:uid="{00000000-0005-0000-0000-000000000000}"/>
    <cellStyle name="百分比" xfId="3" xr:uid="{00000000-0005-0000-0000-000001000000}"/>
    <cellStyle name="百分比 2" xfId="5" xr:uid="{00000000-0005-0000-0000-000002000000}"/>
    <cellStyle name="常规" xfId="0" builtinId="0"/>
    <cellStyle name="常规 2" xfId="4" xr:uid="{00000000-0005-0000-0000-000004000000}"/>
    <cellStyle name="千位分隔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323f5e74b03448a4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50</xdr:row>
      <xdr:rowOff>171450</xdr:rowOff>
    </xdr:to>
    <xdr:sp macro="" textlink="">
      <xdr:nvSpPr>
        <xdr:cNvPr id="1206" name="Text Box 182" hidden="1">
          <a:extLst>
            <a:ext uri="{FF2B5EF4-FFF2-40B4-BE49-F238E27FC236}">
              <a16:creationId xmlns:a16="http://schemas.microsoft.com/office/drawing/2014/main" id="{BD022A9C-218E-C538-41FA-6A522F767D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老顾" id="{7C315BFA-1E70-4B2A-8154-CF3F48DBDD2F}"/>
  <xltc:person displayName="老顾" id="{73ADD5D2-1DCC-4B59-9C2E-03A4154E5C7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4" dT="2026-08-24T08:39:18.786" personId="{7C315BFA-1E70-4B2A-8154-CF3F48DBDD2F}" id="{B365B616-9AE3-36E8-9613-34535578ECE9}">
    <xltc:text>来源：绿城S04 p33-34（在管+储备）；滨江S07 p2；万物云和中海未披露可直接横比的合约面积；龙湖附件未提供。</xltc:text>
  </xltc:threadedComment>
  <xltc:threadedComment ref="B7" dT="2026-08-24T08:39:18.786" personId="{7C315BFA-1E70-4B2A-8154-CF3F48DBDD2F}" id="{28825D0E-82AC-CFC4-9166-CF49D22B857A}">
    <xltc:text>来源：绿城S04 p33-34；滨江S07 p2/p26；中海S10 p15；万物云按饱和收入披露，不与面积混填。</xltc:text>
  </xltc:threadedComment>
  <xltc:threadedComment ref="B11" dT="2026-08-24T08:39:18.786" personId="{7C315BFA-1E70-4B2A-8154-CF3F48DBDD2F}" id="{AF7453DA-31B7-A294-9F83-A527A73DEC1C}">
    <xltc:text>来源：万物云S01 p38；绿城S04 p41；滨江S07 p34；中海S10 p23。龙湖附件未提供。</xltc:text>
  </xltc:threadedComment>
  <xltc:threadedComment ref="B15" dT="2026-08-24T08:39:18.786" personId="{7C315BFA-1E70-4B2A-8154-CF3F48DBDD2F}" id="{FF3A6558-09AC-A4BD-4797-7BDBCDC4046A}">
    <xltc:text>来源：万物云S01 p3；绿城S04 p3；滨江S07 p3；中海S10 p25；龙湖为用户附件《年报对标数据底表-0407》汇总页FY24历史。</xltc:text>
  </xltc:threadedComment>
  <xltc:threadedComment ref="B19" dT="2026-08-24T08:39:18.786" personId="{7C315BFA-1E70-4B2A-8154-CF3F48DBDD2F}" id="{EB5E3253-C4E4-B041-510A-FD4F275A83D0}">
    <xltc:text>来源：万物云S01 p3；绿城S04 p3；滨江S07 p3；中海S10 p25；龙湖为用户附件《年报对标数据底表-0407》汇总页FY24历史。</xltc:text>
  </xltc:threadedComment>
  <xltc:threadedComment ref="B27" dT="2026-08-24T08:39:18.786" personId="{7C315BFA-1E70-4B2A-8154-CF3F48DBDD2F}" id="{6FB92724-554A-6E64-6DEC-C9E0F8D67281}">
    <xltc:text>来源：万物云S01 p3；绿城S04 p3；滨江S07 p3；中海S10 p25；龙湖为用户附件《年报对标数据底表-0407》汇总页FY24历史。</xltc:text>
  </xltc:threadedComment>
  <xltc:threadedComment ref="B16" dT="2026-08-24T08:39:18.786" personId="{7C315BFA-1E70-4B2A-8154-CF3F48DBDD2F}" id="{2EFE8D81-690C-8550-3580-A8FE76D1E860}">
    <xltc:text>来源：四家公司2026H1公告的2025H1比较数：S01/S04/S07/S10相应财务报表页。</xltc:text>
  </xltc:threadedComment>
  <xltc:threadedComment ref="B20" dT="2026-08-24T08:39:18.786" personId="{7C315BFA-1E70-4B2A-8154-CF3F48DBDD2F}" id="{2CA40E2A-F494-397B-A195-B1DFA42AA385}">
    <xltc:text>来源：四家公司2026H1公告的2025H1比较数：S01/S04/S07/S10相应财务报表页。</xltc:text>
  </xltc:threadedComment>
  <xltc:threadedComment ref="B28" dT="2026-08-24T08:39:18.786" personId="{7C315BFA-1E70-4B2A-8154-CF3F48DBDD2F}" id="{7D731944-43F3-9328-A196-2C6413AC6CE6}">
    <xltc:text>来源：四家公司2026H1公告的2025H1比较数：S01/S04/S07/S10相应财务报表页。</xltc:text>
  </xltc:threadedComment>
  <xltc:threadedComment ref="B18" dT="2026-08-24T08:39:18.786" personId="{7C315BFA-1E70-4B2A-8154-CF3F48DBDD2F}" id="{91F23858-9FB8-9B04-D571-6E178131703F}">
    <xltc:text>来源：万物云S02、绿城S05、滨江S08、中海S11之FY2025年报；金额单位统一换算为人民币亿元。</xltc:text>
  </xltc:threadedComment>
  <xltc:threadedComment ref="B22" dT="2026-08-24T08:39:18.787" personId="{7C315BFA-1E70-4B2A-8154-CF3F48DBDD2F}" id="{3B8086D6-75FB-4074-70C7-1353F29271A0}">
    <xltc:text>来源：万物云S02、绿城S05、滨江S08、中海S11之FY2025年报；金额单位统一换算为人民币亿元。</xltc:text>
  </xltc:threadedComment>
  <xltc:threadedComment ref="B31" dT="2026-08-24T08:39:18.787" personId="{7C315BFA-1E70-4B2A-8154-CF3F48DBDD2F}" id="{AB87C854-5B65-BAF1-346D-B0C909F5447B}">
    <xltc:text>来源：万物云S02、绿城S05、滨江S08、中海S11之FY2025年报；金额单位统一换算为人民币亿元。</xltc:text>
  </xltc:threadedComment>
  <xltc:threadedComment ref="B38" dT="2026-08-24T08:39:18.787" personId="{7C315BFA-1E70-4B2A-8154-CF3F48DBDD2F}" id="{5A3A11A5-33B6-AD1F-6718-8388EE7AC44D}">
    <xltc:text>来源：万物云S01 p23/p27/p31-32；绿城S04 p28/p33-39；滨江S07 p10/p30-31；中海S10 p12/p16/p19/p21；龙湖为附件汇总页FY24历史。</xltc:text>
  </xltc:threadedComment>
  <xltc:threadedComment ref="B42" dT="2026-08-24T08:39:18.787" personId="{7C315BFA-1E70-4B2A-8154-CF3F48DBDD2F}" id="{9C7FAC7F-97D1-B236-6D3B-B06951E38FC6}">
    <xltc:text>来源：万物云S01 p23/p27/p31-32；绿城S04 p28/p33-39；滨江S07 p10/p30-31；中海S10 p12/p16/p19/p21；龙湖为附件汇总页FY24历史。</xltc:text>
  </xltc:threadedComment>
  <xltc:threadedComment ref="B51" dT="2026-08-24T08:39:18.787" personId="{7C315BFA-1E70-4B2A-8154-CF3F48DBDD2F}" id="{770640FD-5B33-A194-2E0E-765E40D23BF5}">
    <xltc:text>来源：万物云S01 p23/p27/p31-32；绿城S04 p28/p33-39；滨江S07 p10/p30-31；中海S10 p12/p16/p19/p21；龙湖为附件汇总页FY24历史。</xltc:text>
  </xltc:threadedComment>
  <xltc:threadedComment ref="B55" dT="2026-08-24T08:39:18.787" personId="{7C315BFA-1E70-4B2A-8154-CF3F48DBDD2F}" id="{C6FF2307-7E31-ECCC-976E-500AF14C307D}">
    <xltc:text>来源：万物云S01 p23/p27/p31-32；绿城S04 p28/p33-39；滨江S07 p10/p30-31；中海S10 p12/p16/p19/p21；龙湖为附件汇总页FY24历史。</xltc:text>
  </xltc:threadedComment>
  <xltc:threadedComment ref="B64" dT="2026-08-24T08:39:18.787" personId="{7C315BFA-1E70-4B2A-8154-CF3F48DBDD2F}" id="{CB4BFB81-AD0A-A897-90C2-EA6A3DB5C1F1}">
    <xltc:text>来源：万物云S01 p23/p27/p31-32；绿城S04 p28/p33-39；滨江S07 p10/p30-31；中海S10 p12/p16/p19/p21；龙湖为附件汇总页FY24历史。</xltc:text>
  </xltc:threadedComment>
  <xltc:threadedComment ref="B68" dT="2026-08-24T08:39:18.787" personId="{7C315BFA-1E70-4B2A-8154-CF3F48DBDD2F}" id="{0ED9E2F8-8216-F4C5-0B5D-E55DA6DBA768}">
    <xltc:text>来源：万物云S01 p23/p27/p31-32；绿城S04 p28/p33-39；滨江S07 p10/p30-31；中海S10 p12/p16/p19/p21；龙湖为附件汇总页FY24历史。</xltc:text>
  </xltc:threadedComment>
  <xltc:threadedComment ref="B39" dT="2026-08-24T08:39:18.787" personId="{7C315BFA-1E70-4B2A-8154-CF3F48DBDD2F}" id="{3CBA1EEE-BE4F-6847-81A7-5D86AE2EBDB5}">
    <xltc:text>来源：上述四家公司2026H1公告所列2025H1比较数；未直接拆分时保持公司原业务分类，不推断缺失值。</xltc:text>
  </xltc:threadedComment>
  <xltc:threadedComment ref="B43" dT="2026-08-24T08:39:18.787" personId="{7C315BFA-1E70-4B2A-8154-CF3F48DBDD2F}" id="{5B798F2E-9424-7312-D008-41F802227F10}">
    <xltc:text>来源：上述四家公司2026H1公告所列2025H1比较数；未直接拆分时保持公司原业务分类，不推断缺失值。</xltc:text>
  </xltc:threadedComment>
  <xltc:threadedComment ref="B52" dT="2026-08-24T08:39:18.787" personId="{7C315BFA-1E70-4B2A-8154-CF3F48DBDD2F}" id="{DE9C8C8C-2D83-D182-7970-3731F2220E01}">
    <xltc:text>来源：上述四家公司2026H1公告所列2025H1比较数；未直接拆分时保持公司原业务分类，不推断缺失值。</xltc:text>
  </xltc:threadedComment>
  <xltc:threadedComment ref="B56" dT="2026-08-24T08:39:18.787" personId="{7C315BFA-1E70-4B2A-8154-CF3F48DBDD2F}" id="{F76CC518-EF90-7739-D29B-C8A4D8733B98}">
    <xltc:text>来源：上述四家公司2026H1公告所列2025H1比较数；未直接拆分时保持公司原业务分类，不推断缺失值。</xltc:text>
  </xltc:threadedComment>
  <xltc:threadedComment ref="B65" dT="2026-08-24T08:39:18.787" personId="{7C315BFA-1E70-4B2A-8154-CF3F48DBDD2F}" id="{F16784C4-B20D-5D52-9BD8-A347052CCF12}">
    <xltc:text>来源：上述四家公司2026H1公告所列2025H1比较数；未直接拆分时保持公司原业务分类，不推断缺失值。</xltc:text>
  </xltc:threadedComment>
  <xltc:threadedComment ref="B69" dT="2026-08-24T08:39:18.787" personId="{7C315BFA-1E70-4B2A-8154-CF3F48DBDD2F}" id="{4D8A845E-45A3-D0B5-0116-0BED957FD282}">
    <xltc:text>来源：上述四家公司2026H1公告所列2025H1比较数；未直接拆分时保持公司原业务分类，不推断缺失值。</xltc:text>
  </xltc:threadedComment>
  <xltc:threadedComment ref="B41" dT="2026-08-24T08:39:18.787" personId="{7C315BFA-1E70-4B2A-8154-CF3F48DBDD2F}" id="{7F542D71-D3D8-9EE0-02F6-DE43F6FC3D22}">
    <xltc:text>来源：万物云S02 p32/p42-44；绿城S05 p26/p36/p39；滨江S08 p27/p29；中海S11 p36/p42/p46-48。</xltc:text>
  </xltc:threadedComment>
  <xltc:threadedComment ref="B45" dT="2026-08-24T08:39:18.787" personId="{7C315BFA-1E70-4B2A-8154-CF3F48DBDD2F}" id="{17CC2DD8-D2E5-AA65-16B3-7A5ACEE6A5D3}">
    <xltc:text>来源：万物云S02 p32/p42-44；绿城S05 p26/p36/p39；滨江S08 p27/p29；中海S11 p36/p42/p46-48。</xltc:text>
  </xltc:threadedComment>
  <xltc:threadedComment ref="B54" dT="2026-08-24T08:39:18.787" personId="{7C315BFA-1E70-4B2A-8154-CF3F48DBDD2F}" id="{067CABAC-363B-7809-6722-6367534EB305}">
    <xltc:text>来源：万物云S02 p32/p42-44；绿城S05 p26/p36/p39；滨江S08 p27/p29；中海S11 p36/p42/p46-48。</xltc:text>
  </xltc:threadedComment>
  <xltc:threadedComment ref="B58" dT="2026-08-24T08:39:18.787" personId="{7C315BFA-1E70-4B2A-8154-CF3F48DBDD2F}" id="{5EB3DBB2-50D1-C39E-03FE-781626621E2D}">
    <xltc:text>来源：万物云S02 p32/p42-44；绿城S05 p26/p36/p39；滨江S08 p27/p29；中海S11 p36/p42/p46-48。</xltc:text>
  </xltc:threadedComment>
  <xltc:threadedComment ref="B67" dT="2026-08-24T08:39:18.787" personId="{7C315BFA-1E70-4B2A-8154-CF3F48DBDD2F}" id="{B49AB35B-6021-E67B-F117-49905C803012}">
    <xltc:text>来源：万物云S02 p32/p42-44；绿城S05 p26/p36/p39；滨江S08 p27/p29；中海S11 p36/p42/p46-48。</xltc:text>
  </xltc:threadedComment>
  <xltc:threadedComment ref="B71" dT="2026-08-24T08:39:18.787" personId="{7C315BFA-1E70-4B2A-8154-CF3F48DBDD2F}" id="{0479B5A3-22A7-9C4A-4BB3-B49F281E163F}">
    <xltc:text>来源：万物云S02 p32/p42-44；绿城S05 p26/p36/p39；滨江S08 p27/p29；中海S11 p36/p42/p46-48。</xltc:text>
  </xltc:threadedComment>
  <xltc:threadedComment ref="B77" dT="2026-08-24T08:39:18.787" personId="{7C315BFA-1E70-4B2A-8154-CF3F48DBDD2F}" id="{0B193E95-057A-032B-5EE7-E6CAD69EE540}">
    <xltc:text>来源：万物云S01 p14-15；绿城S04 p19；滨江S07 p15-16；中海S10 p38-39；采用2026H1贸易应收毛额。龙湖为附件应收总额，口径更宽。</xltc:text>
  </xltc:threadedComment>
  <xltc:threadedComment ref="B78" dT="2026-08-24T08:39:18.787" personId="{7C315BFA-1E70-4B2A-8154-CF3F48DBDD2F}" id="{89149C57-B2FA-3694-4C07-3C17419B0419}">
    <xltc:text>来源：万物云S02 p288-290；绿城S05 p233-234；滨江S08 p320-321；中海S11 p198-199。</xltc:text>
  </xltc:threadedComment>
  <xltc:threadedComment ref="B79" dT="2026-08-24T08:39:18.787" personId="{7C315BFA-1E70-4B2A-8154-CF3F48DBDD2F}" id="{F97623C2-CEB9-1D32-8119-4F5B6EA22F3E}">
    <xltc:text>来源：万物云S01 p14-15；滨江S07 p15-16；中海S10 p38-39。绿城未披露关联贸易应收拆分，留空。龙湖为附件内部应收。</xltc:text>
  </xltc:threadedComment>
  <xltc:threadedComment ref="B80" dT="2026-08-24T08:39:18.787" personId="{7C315BFA-1E70-4B2A-8154-CF3F48DBDD2F}" id="{76D0B763-F48C-23B3-9452-809CAA173969}">
    <xltc:text>外部应收=贸易应收毛额-广义关联贸易应收；绿城因未披露关联拆分而留空。龙湖为附件外部应收。</xltc:text>
  </xltc:threadedComment>
  <xltc:threadedComment ref="B85" dT="2026-08-24T08:39:18.787" personId="{7C315BFA-1E70-4B2A-8154-CF3F48DBDD2F}" id="{C7A783EB-0ECF-85D7-0897-522745A4D1C5}">
    <xltc:text>来源：万物云S01 p36；绿城S04 p6；滨江及中海26H1未披露可比经营现金流净额，留空；龙湖为附件FY24经营现金流。</xltc:text>
  </xltc:threadedComment>
  <xltc:threadedComment ref="B86" dT="2026-08-24T08:39:18.787" personId="{7C315BFA-1E70-4B2A-8154-CF3F48DBDD2F}" id="{C3CBAE5B-13DF-5F83-FB4C-07276E770DDC}">
    <xltc:text>来源：万物云S02 p176；绿城S05 p139；滨江S08 p240；中海S11 p134。</xltc:text>
  </xltc:threadedComment>
  <xltc:threadedComment ref="C4" dT="2026-08-25T08:59:21.049" personId="{73ADD5D2-1DCC-4B59-9C2E-03A4154E5C7C}" id="{7A06CA6A-2B0A-9CAC-528B-33BD45926A46}">
    <xltc:text>来源：26H1-万物云业绩.pdf，p3。金额统一换算为人民币亿元。</xltc:text>
  </xltc:threadedComment>
  <xltc:threadedComment ref="C5" dT="2026-08-25T08:59:21.049" personId="{73ADD5D2-1DCC-4B59-9C2E-03A4154E5C7C}" id="{F2A6855E-DF46-59F5-A32F-64CEFC1FDEAE}">
    <xltc:text>来源：26H1-万物云业绩.pdf，p3。金额统一换算为人民币亿元。</xltc:text>
  </xltc:threadedComment>
  <xltc:threadedComment ref="C7" dT="2026-08-25T08:59:21.049" personId="{73ADD5D2-1DCC-4B59-9C2E-03A4154E5C7C}" id="{233A32A1-7047-8D11-2576-6A6C4C690F6C}">
    <xltc:text>来源：26H1-万物云业绩.pdf，p3。金额统一换算为人民币亿元。</xltc:text>
  </xltc:threadedComment>
  <xltc:threadedComment ref="C8" dT="2026-08-25T08:59:21.049" personId="{73ADD5D2-1DCC-4B59-9C2E-03A4154E5C7C}" id="{EFCD0CD7-93EF-9F39-DA0F-91845CA89A36}">
    <xltc:text>来源：26H1-万物云业绩.pdf，p3。金额统一换算为人民币亿元。</xltc:text>
  </xltc:threadedComment>
  <xltc:threadedComment ref="C13" dT="2026-08-25T08:59:21.049" personId="{73ADD5D2-1DCC-4B59-9C2E-03A4154E5C7C}" id="{FB065D85-9801-7464-85AF-7CE8FA5DC3BF}">
    <xltc:text>来源：26H1-万物云业绩.pdf，p3。金额统一换算为人民币亿元。</xltc:text>
  </xltc:threadedComment>
  <xltc:threadedComment ref="C14" dT="2026-08-25T08:59:21.049" personId="{73ADD5D2-1DCC-4B59-9C2E-03A4154E5C7C}" id="{FA7AA6C0-EAEA-0C97-E543-D9DC2347C215}">
    <xltc:text>来源：26H1-万物云业绩.pdf，p3。金额统一换算为人民币亿元。</xltc:text>
  </xltc:threadedComment>
  <xltc:threadedComment ref="C22" dT="2026-08-25T08:59:21.049" personId="{73ADD5D2-1DCC-4B59-9C2E-03A4154E5C7C}" id="{D6A04669-3097-3012-0FCD-F0F1047931CB}">
    <xltc:text>来源：26H1-万物云业绩.pdf，p29-p35。金额统一换算为人民币亿元。</xltc:text>
  </xltc:threadedComment>
  <xltc:threadedComment ref="C23" dT="2026-08-25T08:59:21.049" personId="{73ADD5D2-1DCC-4B59-9C2E-03A4154E5C7C}" id="{46CA6170-615D-3141-2EA8-8D13E3624BDE}">
    <xltc:text>来源：26H1-万物云业绩.pdf，p29-p35。金额统一换算为人民币亿元。</xltc:text>
  </xltc:threadedComment>
  <xltc:threadedComment ref="C25" dT="2026-08-25T08:59:21.049" personId="{73ADD5D2-1DCC-4B59-9C2E-03A4154E5C7C}" id="{BD64C4C4-5DE9-BEFD-D7B9-D0199812D5C7}">
    <xltc:text>来源：26H1-万物云业绩.pdf，p29-p35。金额统一换算为人民币亿元。</xltc:text>
  </xltc:threadedComment>
  <xltc:threadedComment ref="C26" dT="2026-08-25T08:59:21.049" personId="{73ADD5D2-1DCC-4B59-9C2E-03A4154E5C7C}" id="{9AA20F09-5937-84E1-960C-56FF44FC7581}">
    <xltc:text>来源：26H1-万物云业绩.pdf，p29-p35。金额统一换算为人民币亿元。</xltc:text>
  </xltc:threadedComment>
  <xltc:threadedComment ref="C32" dT="2026-08-25T08:59:21.049" personId="{73ADD5D2-1DCC-4B59-9C2E-03A4154E5C7C}" id="{FC9A6E87-C339-F906-83C0-16DDBC36E868}">
    <xltc:text>来源：26H1-万物云业绩.pdf，p29-p35。金额统一换算为人民币亿元。</xltc:text>
  </xltc:threadedComment>
  <xltc:threadedComment ref="C33" dT="2026-08-25T08:59:21.049" personId="{73ADD5D2-1DCC-4B59-9C2E-03A4154E5C7C}" id="{1DA07412-4956-B2C0-6B85-137AE07AAF9E}">
    <xltc:text>来源：26H1-万物云业绩.pdf，p29-p35。金额统一换算为人民币亿元。</xltc:text>
  </xltc:threadedComment>
  <xltc:threadedComment ref="C35" dT="2026-08-25T08:59:21.049" personId="{73ADD5D2-1DCC-4B59-9C2E-03A4154E5C7C}" id="{7EF0BBAF-FEF1-821E-BF5C-90D427638A04}">
    <xltc:text>来源：26H1-万物云业绩.pdf，p29-p35。金额统一换算为人民币亿元。</xltc:text>
  </xltc:threadedComment>
  <xltc:threadedComment ref="C36" dT="2026-08-25T08:59:21.049" personId="{73ADD5D2-1DCC-4B59-9C2E-03A4154E5C7C}" id="{06025272-AB6E-5158-F2E1-7877319BC1CC}">
    <xltc:text>来源：26H1-万物云业绩.pdf，p29-p35。金额统一换算为人民币亿元。</xltc:text>
  </xltc:threadedComment>
  <xltc:threadedComment ref="C42" dT="2026-08-25T08:59:21.049" personId="{73ADD5D2-1DCC-4B59-9C2E-03A4154E5C7C}" id="{7F919E3D-F8A0-80AE-88B8-7AB62DEAE7C1}">
    <xltc:text>来源：26H1-万物云业绩.pdf，p29-p35。金额统一换算为人民币亿元。</xltc:text>
  </xltc:threadedComment>
  <xltc:threadedComment ref="C43" dT="2026-08-25T08:59:21.049" personId="{73ADD5D2-1DCC-4B59-9C2E-03A4154E5C7C}" id="{06F3A907-2326-C88A-62A1-FFF4D35CD1E3}">
    <xltc:text>来源：26H1-万物云业绩.pdf，p29-p35。金额统一换算为人民币亿元。</xltc:text>
  </xltc:threadedComment>
  <xltc:threadedComment ref="C45" dT="2026-08-25T08:59:21.049" personId="{73ADD5D2-1DCC-4B59-9C2E-03A4154E5C7C}" id="{3BA6E72C-BEA9-4806-A024-F09E7189C5E3}">
    <xltc:text>来源：26H1-万物云业绩.pdf，p29-p35。金额统一换算为人民币亿元。</xltc:text>
  </xltc:threadedComment>
  <xltc:threadedComment ref="C46" dT="2026-08-25T08:59:21.05" personId="{73ADD5D2-1DCC-4B59-9C2E-03A4154E5C7C}" id="{8D906F32-3C15-B859-5F4C-772EA54A38EF}">
    <xltc:text>来源：26H1-万物云业绩.pdf，p29-p35。金额统一换算为人民币亿元。</xltc:text>
  </xltc:threadedComment>
  <xltc:threadedComment ref="C52" dT="2026-08-25T08:59:21.05" personId="{73ADD5D2-1DCC-4B59-9C2E-03A4154E5C7C}" id="{EB56A8A0-2C67-69CC-FEE0-E4214BB43D41}">
    <xltc:text>来源：26H1-万物云业绩.pdf，p29-p35。金额统一换算为人民币亿元。</xltc:text>
  </xltc:threadedComment>
  <xltc:threadedComment ref="C53" dT="2026-08-25T08:59:21.05" personId="{73ADD5D2-1DCC-4B59-9C2E-03A4154E5C7C}" id="{3AE44E7B-453A-051B-2443-B2CF710CDD6E}">
    <xltc:text>来源：26H1-万物云业绩.pdf，p29-p35。金额统一换算为人民币亿元。</xltc:text>
  </xltc:threadedComment>
  <xltc:threadedComment ref="C55" dT="2026-08-25T08:59:21.05" personId="{73ADD5D2-1DCC-4B59-9C2E-03A4154E5C7C}" id="{1741D160-CA1A-370F-D69E-BAA833794391}">
    <xltc:text>来源：26H1-万物云业绩.pdf，p29-p35。金额统一换算为人民币亿元。</xltc:text>
  </xltc:threadedComment>
  <xltc:threadedComment ref="C56" dT="2026-08-25T08:59:21.05" personId="{73ADD5D2-1DCC-4B59-9C2E-03A4154E5C7C}" id="{EA3844D5-EAC8-CF73-66BA-C7CAEF50BD7F}">
    <xltc:text>来源：26H1-万物云业绩.pdf，p29-p35。金额统一换算为人民币亿元。</xltc:text>
  </xltc:threadedComment>
  <xltc:threadedComment ref="C62" dT="2026-08-25T08:59:21.05" personId="{73ADD5D2-1DCC-4B59-9C2E-03A4154E5C7C}" id="{DCD736A4-E56F-CF0A-E8BD-DA598CD1CB04}">
    <xltc:text>来源：26H1-万物云业绩.pdf，p14；贸易应收款原值，不含应收保证金。金额统一换算为人民币亿元。</xltc:text>
  </xltc:threadedComment>
  <xltc:threadedComment ref="C63" dT="2026-08-25T08:59:21.05" personId="{73ADD5D2-1DCC-4B59-9C2E-03A4154E5C7C}" id="{18572AE8-7FD6-C101-23AC-C11F566EEF2A}">
    <xltc:text>来源：26H1-万物云业绩.pdf，p14；贸易应收款原值，不含应收保证金。金额统一换算为人民币亿元。</xltc:text>
  </xltc:threadedComment>
  <xltc:threadedComment ref="C64" dT="2026-08-25T08:59:21.05" personId="{73ADD5D2-1DCC-4B59-9C2E-03A4154E5C7C}" id="{4AFE29A6-90F2-0391-0BFE-25968575943B}">
    <xltc:text>来源：26H1-万物云业绩.pdf，p14；贸易应收款原值，不含应收保证金。金额统一换算为人民币亿元。</xltc:text>
  </xltc:threadedComment>
  <xltc:threadedComment ref="C65" dT="2026-08-25T08:59:21.05" personId="{73ADD5D2-1DCC-4B59-9C2E-03A4154E5C7C}" id="{513FB2D5-0FC4-F85A-944C-32F4F3249D5D}">
    <xltc:text>来源：26H1-万物云业绩.pdf，p14；贸易应收款原值，不含应收保证金。金额统一换算为人民币亿元。</xltc:text>
  </xltc:threadedComment>
  <xltc:threadedComment ref="C70" dT="2026-08-25T08:59:21.05" personId="{73ADD5D2-1DCC-4B59-9C2E-03A4154E5C7C}" id="{4A33F7CF-89A8-F7DA-D656-C6075FB8266D}">
    <xltc:text>来源：26H1-万物云业绩.pdf，p17。金额统一换算为人民币亿元。</xltc:text>
  </xltc:threadedComment>
  <xltc:threadedComment ref="C71" dT="2026-08-25T08:59:21.05" personId="{73ADD5D2-1DCC-4B59-9C2E-03A4154E5C7C}" id="{4F0A84A7-3A8E-08A3-BA16-BE297A6CC036}">
    <xltc:text>来源：26H1-万物云业绩.pdf，p17。金额统一换算为人民币亿元。</xltc:text>
  </xltc:threadedComment>
  <xltc:threadedComment ref="C72" dT="2026-08-25T08:59:21.05" personId="{73ADD5D2-1DCC-4B59-9C2E-03A4154E5C7C}" id="{81A14EBE-1462-C8BE-D08A-33C01D4AA3A2}">
    <xltc:text>来源：26H1-万物云业绩.pdf，p17。金额统一换算为人民币亿元。</xltc:text>
  </xltc:threadedComment>
  <xltc:threadedComment ref="C78" dT="2026-08-25T08:59:21.05" personId="{73ADD5D2-1DCC-4B59-9C2E-03A4154E5C7C}" id="{9E29D327-D0F4-C8AF-F434-101AA9AEB612}">
    <xltc:text>来源：26H1-万物云业绩.pdf，p30-p31；口径为合约项目数。金额统一换算为人民币亿元。</xltc:text>
  </xltc:threadedComment>
  <xltc:threadedComment ref="C79" dT="2026-08-25T08:59:21.05" personId="{73ADD5D2-1DCC-4B59-9C2E-03A4154E5C7C}" id="{595C09F0-C7B0-C0AD-F778-07F6E8367D40}">
    <xltc:text>来源：26H1-万物云业绩.pdf，p30-p31；口径为合约项目数。金额统一换算为人民币亿元。</xltc:text>
  </xltc:threadedComment>
  <xltc:threadedComment ref="C81" dT="2026-08-25T08:59:21.05" personId="{73ADD5D2-1DCC-4B59-9C2E-03A4154E5C7C}" id="{8AA14D40-996F-F750-2605-1B98354A2BA2}">
    <xltc:text>来源：26H1-万物云业绩.pdf，p30-p31；口径为合约项目数。金额统一换算为人民币亿元。</xltc:text>
  </xltc:threadedComment>
  <xltc:threadedComment ref="C82" dT="2026-08-25T08:59:21.05" personId="{73ADD5D2-1DCC-4B59-9C2E-03A4154E5C7C}" id="{B6BFC03A-4EE9-2394-80B1-E0047A9F5EB4}">
    <xltc:text>来源：26H1-万物云业绩.pdf，p30-p31；口径为合约项目数。金额统一换算为人民币亿元。</xltc:text>
  </xltc:threadedComment>
  <xltc:threadedComment ref="C84" dT="2026-08-25T08:59:21.05" personId="{73ADD5D2-1DCC-4B59-9C2E-03A4154E5C7C}" id="{5424AACD-DF6E-5491-063C-2801A34283BA}">
    <xltc:text>来源：26H1-万物云业绩.pdf，p30-p31；口径为合约项目数。金额统一换算为人民币亿元。</xltc:text>
  </xltc:threadedComment>
  <xltc:threadedComment ref="C85" dT="2026-08-25T08:59:21.05" personId="{73ADD5D2-1DCC-4B59-9C2E-03A4154E5C7C}" id="{98158B62-0389-E10A-B276-AA98423E87DC}">
    <xltc:text>来源：26H1-万物云业绩.pdf，p30-p31；口径为合约项目数。金额统一换算为人民币亿元。</xltc:text>
  </xltc:threadedComment>
  <xltc:threadedComment ref="D4" dT="2026-08-25T08:59:21.05" personId="{73ADD5D2-1DCC-4B59-9C2E-03A4154E5C7C}" id="{019BB9CC-46B1-B743-2425-2F5B76A11B1E}">
    <xltc:text>来源：26H1-绿城服务业绩.pdf，p3。金额统一换算为人民币亿元。</xltc:text>
  </xltc:threadedComment>
  <xltc:threadedComment ref="D5" dT="2026-08-25T08:59:21.05" personId="{73ADD5D2-1DCC-4B59-9C2E-03A4154E5C7C}" id="{751ADD05-E59B-2D9C-0397-BC5637257877}">
    <xltc:text>来源：26H1-绿城服务业绩.pdf，p3。金额统一换算为人民币亿元。</xltc:text>
  </xltc:threadedComment>
  <xltc:threadedComment ref="D7" dT="2026-08-25T08:59:21.05" personId="{73ADD5D2-1DCC-4B59-9C2E-03A4154E5C7C}" id="{1068BAAD-AC9E-9982-22D3-31884122E9B5}">
    <xltc:text>来源：26H1-绿城服务业绩.pdf，p3。金额统一换算为人民币亿元。</xltc:text>
  </xltc:threadedComment>
  <xltc:threadedComment ref="D8" dT="2026-08-25T08:59:21.051" personId="{73ADD5D2-1DCC-4B59-9C2E-03A4154E5C7C}" id="{19073D7A-B556-0BB4-7F24-A144FA79BA5E}">
    <xltc:text>来源：26H1-绿城服务业绩.pdf，p3。金额统一换算为人民币亿元。</xltc:text>
  </xltc:threadedComment>
  <xltc:threadedComment ref="D13" dT="2026-08-25T08:59:21.051" personId="{73ADD5D2-1DCC-4B59-9C2E-03A4154E5C7C}" id="{402480D9-636E-FE80-F681-CAC22D598D18}">
    <xltc:text>来源：26H1-绿城服务业绩.pdf，p3。金额统一换算为人民币亿元。</xltc:text>
  </xltc:threadedComment>
  <xltc:threadedComment ref="D14" dT="2026-08-25T08:59:21.051" personId="{73ADD5D2-1DCC-4B59-9C2E-03A4154E5C7C}" id="{2DCADB33-1073-13EF-7B6E-5C291879B3C5}">
    <xltc:text>来源：26H1-绿城服务业绩.pdf，p3。金额统一换算为人民币亿元。</xltc:text>
  </xltc:threadedComment>
  <xltc:threadedComment ref="D22" dT="2026-08-25T08:59:21.051" personId="{73ADD5D2-1DCC-4B59-9C2E-03A4154E5C7C}" id="{B219E65A-3C68-AB3F-0C56-15045FCA4F00}">
    <xltc:text>来源：26H1-绿城服务业绩.pdf，p28、p33、p36、p39；分业务毛利为公告约数。金额统一换算为人民币亿元。</xltc:text>
  </xltc:threadedComment>
  <xltc:threadedComment ref="D23" dT="2026-08-25T08:59:21.051" personId="{73ADD5D2-1DCC-4B59-9C2E-03A4154E5C7C}" id="{9ED0B841-D04F-5323-DD66-C19C238205A0}">
    <xltc:text>来源：26H1-绿城服务业绩.pdf，p28、p33、p36、p39；分业务毛利为公告约数。金额统一换算为人民币亿元。</xltc:text>
  </xltc:threadedComment>
  <xltc:threadedComment ref="D25" dT="2026-08-25T08:59:21.051" personId="{73ADD5D2-1DCC-4B59-9C2E-03A4154E5C7C}" id="{9E64AE51-9365-EB82-4144-091102E7AF24}">
    <xltc:text>来源：26H1-绿城服务业绩.pdf，p28、p33、p36、p39；分业务毛利为公告约数。金额统一换算为人民币亿元。</xltc:text>
  </xltc:threadedComment>
  <xltc:threadedComment ref="D26" dT="2026-08-25T08:59:21.051" personId="{73ADD5D2-1DCC-4B59-9C2E-03A4154E5C7C}" id="{52CA9728-0458-FBC4-D48E-7FCED55FD731}">
    <xltc:text>来源：26H1-绿城服务业绩.pdf，p28、p33、p36、p39；分业务毛利为公告约数。金额统一换算为人民币亿元。</xltc:text>
  </xltc:threadedComment>
  <xltc:threadedComment ref="D32" dT="2026-08-25T08:59:21.051" personId="{73ADD5D2-1DCC-4B59-9C2E-03A4154E5C7C}" id="{6F92BC75-7E8D-9C8D-90E2-109D574ECB09}">
    <xltc:text>来源：26H1-绿城服务业绩.pdf，p28、p33、p36、p39；分业务毛利为公告约数。金额统一换算为人民币亿元。</xltc:text>
  </xltc:threadedComment>
  <xltc:threadedComment ref="D33" dT="2026-08-25T08:59:21.051" personId="{73ADD5D2-1DCC-4B59-9C2E-03A4154E5C7C}" id="{154D9629-EEF7-A7D8-1745-37ECA607A3FE}">
    <xltc:text>来源：26H1-绿城服务业绩.pdf，p28、p33、p36、p39；分业务毛利为公告约数。金额统一换算为人民币亿元。</xltc:text>
  </xltc:threadedComment>
  <xltc:threadedComment ref="D35" dT="2026-08-25T08:59:21.051" personId="{73ADD5D2-1DCC-4B59-9C2E-03A4154E5C7C}" id="{1A9CA69D-6F60-E011-6129-3B74A9B9A468}">
    <xltc:text>来源：26H1-绿城服务业绩.pdf，p28、p33、p36、p39；分业务毛利为公告约数。金额统一换算为人民币亿元。</xltc:text>
  </xltc:threadedComment>
  <xltc:threadedComment ref="D36" dT="2026-08-25T08:59:21.051" personId="{73ADD5D2-1DCC-4B59-9C2E-03A4154E5C7C}" id="{C6633E3E-D96F-9FAF-742D-EB44FAA31712}">
    <xltc:text>来源：26H1-绿城服务业绩.pdf，p28、p33、p36、p39；分业务毛利为公告约数。金额统一换算为人民币亿元。</xltc:text>
  </xltc:threadedComment>
  <xltc:threadedComment ref="D42" dT="2026-08-25T08:59:21.051" personId="{73ADD5D2-1DCC-4B59-9C2E-03A4154E5C7C}" id="{7F1920E4-06EE-07C8-31E3-B69B811C97D0}">
    <xltc:text>来源：26H1-绿城服务业绩.pdf，p28、p33、p36、p39；分业务毛利为公告约数。金额统一换算为人民币亿元。</xltc:text>
  </xltc:threadedComment>
  <xltc:threadedComment ref="D43" dT="2026-08-25T08:59:21.051" personId="{73ADD5D2-1DCC-4B59-9C2E-03A4154E5C7C}" id="{1CFBC102-CB48-DCB5-7958-245DAA8BE22A}">
    <xltc:text>来源：26H1-绿城服务业绩.pdf，p28、p33、p36、p39；分业务毛利为公告约数。金额统一换算为人民币亿元。</xltc:text>
  </xltc:threadedComment>
  <xltc:threadedComment ref="D45" dT="2026-08-25T08:59:21.051" personId="{73ADD5D2-1DCC-4B59-9C2E-03A4154E5C7C}" id="{54F7B4F1-56C9-FD18-1838-031E34AB84AD}">
    <xltc:text>来源：26H1-绿城服务业绩.pdf，p28、p33、p36、p39；分业务毛利为公告约数。金额统一换算为人民币亿元。</xltc:text>
  </xltc:threadedComment>
  <xltc:threadedComment ref="D46" dT="2026-08-25T08:59:21.051" personId="{73ADD5D2-1DCC-4B59-9C2E-03A4154E5C7C}" id="{ECA9829C-636E-7841-D54A-34009B5BC40C}">
    <xltc:text>来源：26H1-绿城服务业绩.pdf，p28、p33、p36、p39；分业务毛利为公告约数。金额统一换算为人民币亿元。</xltc:text>
  </xltc:threadedComment>
  <xltc:threadedComment ref="D62" dT="2026-08-25T08:59:21.051" personId="{73ADD5D2-1DCC-4B59-9C2E-03A4154E5C7C}" id="{C245CABD-9ABB-5ABF-491D-727EAB703A80}">
    <xltc:text>来源：26H1-绿城服务业绩.pdf，p19；贸易应收款原值。金额统一换算为人民币亿元。</xltc:text>
  </xltc:threadedComment>
  <xltc:threadedComment ref="D63" dT="2026-08-25T08:59:21.051" personId="{73ADD5D2-1DCC-4B59-9C2E-03A4154E5C7C}" id="{0527BF07-A615-9FED-9420-24FB34B3524B}">
    <xltc:text>来源：26H1-绿城服务业绩.pdf，p19；贸易应收款原值。金额统一换算为人民币亿元。</xltc:text>
  </xltc:threadedComment>
  <xltc:threadedComment ref="D70" dT="2026-08-25T08:59:21.051" personId="{73ADD5D2-1DCC-4B59-9C2E-03A4154E5C7C}" id="{15B4BE29-ACB9-FC39-7C9E-D43E15ECAB92}">
    <xltc:text>来源：26H1-绿城服务业绩.pdf，p20；贸易应付款及票据。金额统一换算为人民币亿元。</xltc:text>
  </xltc:threadedComment>
  <xltc:threadedComment ref="D78" dT="2026-08-25T08:59:21.051" personId="{73ADD5D2-1DCC-4B59-9C2E-03A4154E5C7C}" id="{C568A4EB-D7C2-D778-8D6A-608D2608584D}">
    <xltc:text>来源：26H1-绿城服务业绩.pdf，p33-p34；合约面积=在管面积+储备面积。金额统一换算为人民币亿元。</xltc:text>
  </xltc:threadedComment>
  <xltc:threadedComment ref="D79" dT="2026-08-25T08:59:21.051" personId="{73ADD5D2-1DCC-4B59-9C2E-03A4154E5C7C}" id="{0FF9E3AF-050C-198C-6E3D-91664FC78E16}">
    <xltc:text>来源：26H1-绿城服务业绩.pdf，p33-p34；合约面积=在管面积+储备面积。金额统一换算为人民币亿元。</xltc:text>
  </xltc:threadedComment>
  <xltc:threadedComment ref="E4" dT="2026-08-25T08:59:21.051" personId="{73ADD5D2-1DCC-4B59-9C2E-03A4154E5C7C}" id="{F9750C1E-54C0-DE2C-C38B-9512E8D9FC8B}">
    <xltc:text>来源：26H1-中海物业业绩.pdf，p25；2025H1为公告重列数。金额统一换算为人民币亿元。</xltc:text>
  </xltc:threadedComment>
  <xltc:threadedComment ref="E5" dT="2026-08-25T08:59:21.051" personId="{73ADD5D2-1DCC-4B59-9C2E-03A4154E5C7C}" id="{CCBC619F-8877-8FFE-8A36-1F636E7F53DC}">
    <xltc:text>来源：26H1-中海物业业绩.pdf，p25；2025H1为公告重列数。金额统一换算为人民币亿元。</xltc:text>
  </xltc:threadedComment>
  <xltc:threadedComment ref="E7" dT="2026-08-25T08:59:21.051" personId="{73ADD5D2-1DCC-4B59-9C2E-03A4154E5C7C}" id="{34EBC890-C288-1443-E008-0728DBB1854B}">
    <xltc:text>来源：26H1-中海物业业绩.pdf，p25；2025H1为公告重列数。金额统一换算为人民币亿元。</xltc:text>
  </xltc:threadedComment>
  <xltc:threadedComment ref="E8" dT="2026-08-25T08:59:21.051" personId="{73ADD5D2-1DCC-4B59-9C2E-03A4154E5C7C}" id="{5EA525E8-BDBF-95F2-DF5E-C9864979482C}">
    <xltc:text>来源：26H1-中海物业业绩.pdf，p25；2025H1为公告重列数。金额统一换算为人民币亿元。</xltc:text>
  </xltc:threadedComment>
  <xltc:threadedComment ref="E13" dT="2026-08-25T08:59:21.051" personId="{73ADD5D2-1DCC-4B59-9C2E-03A4154E5C7C}" id="{6B2D6AB3-EFA4-3593-2D64-FEABB9B40F18}">
    <xltc:text>来源：26H1-中海物业业绩.pdf，p25；2025H1为公告重列数。金额统一换算为人民币亿元。</xltc:text>
  </xltc:threadedComment>
  <xltc:threadedComment ref="E14" dT="2026-08-25T08:59:21.051" personId="{73ADD5D2-1DCC-4B59-9C2E-03A4154E5C7C}" id="{5F352068-570C-020B-4D8D-3B7F2A1B00A6}">
    <xltc:text>来源：26H1-中海物业业绩.pdf，p25；2025H1为公告重列数。金额统一换算为人民币亿元。</xltc:text>
  </xltc:threadedComment>
  <xltc:threadedComment ref="E22" dT="2026-08-25T08:59:21.051" personId="{73ADD5D2-1DCC-4B59-9C2E-03A4154E5C7C}" id="{9D748C85-691B-52AA-7D5B-578D4D02B716}">
    <xltc:text>来源：26H1-中海物业业绩.pdf，p12；毛利额按披露毛利率计算。金额统一换算为人民币亿元。</xltc:text>
  </xltc:threadedComment>
  <xltc:threadedComment ref="E23" dT="2026-08-25T08:59:21.051" personId="{73ADD5D2-1DCC-4B59-9C2E-03A4154E5C7C}" id="{C1BB0943-F2F2-100C-0046-08E461B499D6}">
    <xltc:text>来源：26H1-中海物业业绩.pdf，p12；毛利额按披露毛利率计算。金额统一换算为人民币亿元。</xltc:text>
  </xltc:threadedComment>
  <xltc:threadedComment ref="E25" dT="2026-08-25T08:59:21.051" personId="{73ADD5D2-1DCC-4B59-9C2E-03A4154E5C7C}" id="{16FD6ECD-0BA6-441B-B420-04120974F4F1}">
    <xltc:text>来源：26H1-中海物业业绩.pdf，p12；毛利额按披露毛利率计算。金额统一换算为人民币亿元。</xltc:text>
  </xltc:threadedComment>
  <xltc:threadedComment ref="E26" dT="2026-08-25T08:59:21.051" personId="{73ADD5D2-1DCC-4B59-9C2E-03A4154E5C7C}" id="{EDBB14F3-1A4B-561D-E228-E6CF042D8CBD}">
    <xltc:text>来源：26H1-中海物业业绩.pdf，p12；毛利额按披露毛利率计算。金额统一换算为人民币亿元。</xltc:text>
  </xltc:threadedComment>
  <xltc:threadedComment ref="E32" dT="2026-08-25T08:59:21.051" personId="{73ADD5D2-1DCC-4B59-9C2E-03A4154E5C7C}" id="{722AA0D4-3C2B-CDE0-8928-DA34E04ADA90}">
    <xltc:text>来源：26H1-中海物业业绩.pdf，p19；毛利额按披露毛利率计算。金额统一换算为人民币亿元。</xltc:text>
  </xltc:threadedComment>
  <xltc:threadedComment ref="E33" dT="2026-08-25T08:59:21.051" personId="{73ADD5D2-1DCC-4B59-9C2E-03A4154E5C7C}" id="{67B42E11-104D-3EF8-B778-ED4590320006}">
    <xltc:text>来源：26H1-中海物业业绩.pdf，p19；毛利额按披露毛利率计算。金额统一换算为人民币亿元。</xltc:text>
  </xltc:threadedComment>
  <xltc:threadedComment ref="E35" dT="2026-08-25T08:59:21.051" personId="{73ADD5D2-1DCC-4B59-9C2E-03A4154E5C7C}" id="{912A24E1-0028-3C08-8304-910DA47C4818}">
    <xltc:text>来源：26H1-中海物业业绩.pdf，p19；毛利额按披露毛利率计算。金额统一换算为人民币亿元。</xltc:text>
  </xltc:threadedComment>
  <xltc:threadedComment ref="E36" dT="2026-08-25T08:59:21.051" personId="{73ADD5D2-1DCC-4B59-9C2E-03A4154E5C7C}" id="{D5642052-89F4-3B8F-2246-E5EBD2F2976C}">
    <xltc:text>来源：26H1-中海物业业绩.pdf，p19；毛利额按披露毛利率计算。金额统一换算为人民币亿元。</xltc:text>
  </xltc:threadedComment>
  <xltc:threadedComment ref="E42" dT="2026-08-25T08:59:21.051" personId="{73ADD5D2-1DCC-4B59-9C2E-03A4154E5C7C}" id="{E44E1ADC-47B5-7ED8-FB8E-A417DF2B7445}">
    <xltc:text>来源：26H1-中海物业业绩.pdf，p16；毛利额按披露毛利率计算。金额统一换算为人民币亿元。</xltc:text>
  </xltc:threadedComment>
  <xltc:threadedComment ref="E43" dT="2026-08-25T08:59:21.051" personId="{73ADD5D2-1DCC-4B59-9C2E-03A4154E5C7C}" id="{AD8E673D-DAE4-A317-EA38-B640E79478DD}">
    <xltc:text>来源：26H1-中海物业业绩.pdf，p16；毛利额按披露毛利率计算。金额统一换算为人民币亿元。</xltc:text>
  </xltc:threadedComment>
  <xltc:threadedComment ref="E45" dT="2026-08-25T08:59:21.051" personId="{73ADD5D2-1DCC-4B59-9C2E-03A4154E5C7C}" id="{56364882-8271-98EE-7072-774D4D0FED9A}">
    <xltc:text>来源：26H1-中海物业业绩.pdf，p16；毛利额按披露毛利率计算。金额统一换算为人民币亿元。</xltc:text>
  </xltc:threadedComment>
  <xltc:threadedComment ref="E46" dT="2026-08-25T08:59:21.051" personId="{73ADD5D2-1DCC-4B59-9C2E-03A4154E5C7C}" id="{837B3B11-1053-D76C-C14E-7F4010508DF6}">
    <xltc:text>来源：26H1-中海物业业绩.pdf，p16；毛利额按披露毛利率计算。金额统一换算为人民币亿元。</xltc:text>
  </xltc:threadedComment>
  <xltc:threadedComment ref="E52" dT="2026-08-25T08:59:21.051" personId="{73ADD5D2-1DCC-4B59-9C2E-03A4154E5C7C}" id="{2E5B4796-5845-F205-8D50-A6CC59CEA93E}">
    <xltc:text>来源：26H1-中海物业业绩.pdf，p21；停车位买卖业务。金额统一换算为人民币亿元。</xltc:text>
  </xltc:threadedComment>
  <xltc:threadedComment ref="E53" dT="2026-08-25T08:59:21.051" personId="{73ADD5D2-1DCC-4B59-9C2E-03A4154E5C7C}" id="{4C5CF805-D54C-3E74-0950-949E02410235}">
    <xltc:text>来源：26H1-中海物业业绩.pdf，p21；停车位买卖业务。金额统一换算为人民币亿元。</xltc:text>
  </xltc:threadedComment>
  <xltc:threadedComment ref="E55" dT="2026-08-25T08:59:21.051" personId="{73ADD5D2-1DCC-4B59-9C2E-03A4154E5C7C}" id="{68E652EB-838F-2393-79DE-38FE5A8FEA96}">
    <xltc:text>来源：26H1-中海物业业绩.pdf，p21；停车位买卖业务。金额统一换算为人民币亿元。</xltc:text>
  </xltc:threadedComment>
  <xltc:threadedComment ref="E56" dT="2026-08-25T08:59:21.051" personId="{73ADD5D2-1DCC-4B59-9C2E-03A4154E5C7C}" id="{1B3A7819-B389-DC18-B70D-81A0DF7235C7}">
    <xltc:text>来源：26H1-中海物业业绩.pdf，p21；停车位买卖业务。金额统一换算为人民币亿元。</xltc:text>
  </xltc:threadedComment>
  <xltc:threadedComment ref="E62" dT="2026-08-25T08:59:21.051" personId="{73ADD5D2-1DCC-4B59-9C2E-03A4154E5C7C}" id="{A6B9172D-C195-5E4B-F565-89658AC496A5}">
    <xltc:text>来源：26H1-中海物业业绩.pdf，p38；贸易应收款原值。金额统一换算为人民币亿元。</xltc:text>
  </xltc:threadedComment>
  <xltc:threadedComment ref="E63" dT="2026-08-25T08:59:21.051" personId="{73ADD5D2-1DCC-4B59-9C2E-03A4154E5C7C}" id="{5280382A-3BE3-E12C-B614-144949BBBE6B}">
    <xltc:text>来源：26H1-中海物业业绩.pdf，p38；贸易应收款原值。金额统一换算为人民币亿元。</xltc:text>
  </xltc:threadedComment>
  <xltc:threadedComment ref="E64" dT="2026-08-25T08:59:21.051" personId="{73ADD5D2-1DCC-4B59-9C2E-03A4154E5C7C}" id="{07373054-37AF-EAB9-4C46-C3BEFC51FAC9}">
    <xltc:text>来源：26H1-中海物业业绩.pdf，p39；贸易类关联方应收款与第三方差额。金额统一换算为人民币亿元。</xltc:text>
  </xltc:threadedComment>
  <xltc:threadedComment ref="E65" dT="2026-08-25T08:59:21.051" personId="{73ADD5D2-1DCC-4B59-9C2E-03A4154E5C7C}" id="{34E57855-631D-EB10-13CA-DA5FDB3D6F4C}">
    <xltc:text>来源：26H1-中海物业业绩.pdf，p39；贸易类关联方应收款与第三方差额。金额统一换算为人民币亿元。</xltc:text>
  </xltc:threadedComment>
  <xltc:threadedComment ref="E70" dT="2026-08-25T08:59:21.051" personId="{73ADD5D2-1DCC-4B59-9C2E-03A4154E5C7C}" id="{AF3B4F56-AD55-69FC-336F-C884E60AA41D}">
    <xltc:text>来源：26H1-中海物业业绩.pdf，p40；贸易应付款；未披露贸易应付关联方拆分。金额统一换算为人民币亿元。</xltc:text>
  </xltc:threadedComment>
  <xltc:threadedComment ref="E78" dT="2026-08-25T08:59:21.051" personId="{73ADD5D2-1DCC-4B59-9C2E-03A4154E5C7C}" id="{49DE34B2-41C9-9BF3-AD25-C2E28AA59DED}">
    <xltc:text>来源：26H1-中海物业业绩.pdf，p15；口径为在管面积。金额统一换算为人民币亿元。</xltc:text>
  </xltc:threadedComment>
  <xltc:threadedComment ref="E79" dT="2026-08-25T08:59:21.051" personId="{73ADD5D2-1DCC-4B59-9C2E-03A4154E5C7C}" id="{72447334-9C58-9E2F-6DDA-E07D48A07C10}">
    <xltc:text>来源：26H1-中海物业业绩.pdf，p15；口径为在管面积。金额统一换算为人民币亿元。</xltc:text>
  </xltc:threadedComment>
  <xltc:threadedComment ref="E81" dT="2026-08-25T08:59:21.051" personId="{73ADD5D2-1DCC-4B59-9C2E-03A4154E5C7C}" id="{A0112A85-964E-1C49-A8E3-3090B3ABC346}">
    <xltc:text>来源：26H1-中海物业业绩.pdf，p15；口径为在管面积。金额统一换算为人民币亿元。</xltc:text>
  </xltc:threadedComment>
  <xltc:threadedComment ref="E82" dT="2026-08-25T08:59:21.051" personId="{73ADD5D2-1DCC-4B59-9C2E-03A4154E5C7C}" id="{E5C85F1F-5987-3BA1-B5E0-7E0532C3DBC8}">
    <xltc:text>来源：26H1-中海物业业绩.pdf，p15；口径为在管面积。金额统一换算为人民币亿元。</xltc:text>
  </xltc:threadedComment>
  <xltc:threadedComment ref="E84" dT="2026-08-25T08:59:21.051" personId="{73ADD5D2-1DCC-4B59-9C2E-03A4154E5C7C}" id="{A4EEF9BF-2F9F-9B33-C3E8-D4C8C8F2D2AD}">
    <xltc:text>来源：26H1-中海物业业绩.pdf，p15；口径为在管面积。金额统一换算为人民币亿元。</xltc:text>
  </xltc:threadedComment>
  <xltc:threadedComment ref="E85" dT="2026-08-25T08:59:21.051" personId="{73ADD5D2-1DCC-4B59-9C2E-03A4154E5C7C}" id="{B269C4B7-8D2F-0353-0508-E2CEDEF27DEC}">
    <xltc:text>来源：26H1-中海物业业绩.pdf，p15；口径为在管面积。金额统一换算为人民币亿元。</xltc:text>
  </xltc:threadedComment>
  <xltc:threadedComment ref="F4" dT="2026-08-25T08:59:21.051" personId="{73ADD5D2-1DCC-4B59-9C2E-03A4154E5C7C}" id="{B59CAAC3-E4DF-8125-E098-CC5A44A726B2}">
    <xltc:text>来源：26H1-滨江服务业绩.pdf，p3。金额统一换算为人民币亿元。</xltc:text>
  </xltc:threadedComment>
  <xltc:threadedComment ref="F5" dT="2026-08-25T08:59:21.051" personId="{73ADD5D2-1DCC-4B59-9C2E-03A4154E5C7C}" id="{7C6E4311-1C37-DB16-A775-02F9B2EA69B4}">
    <xltc:text>来源：26H1-滨江服务业绩.pdf，p3。金额统一换算为人民币亿元。</xltc:text>
  </xltc:threadedComment>
  <xltc:threadedComment ref="F7" dT="2026-08-25T08:59:21.051" personId="{73ADD5D2-1DCC-4B59-9C2E-03A4154E5C7C}" id="{C0398495-5591-FCF7-F847-84C9A953BEF1}">
    <xltc:text>来源：26H1-滨江服务业绩.pdf，p3。金额统一换算为人民币亿元。</xltc:text>
  </xltc:threadedComment>
  <xltc:threadedComment ref="F8" dT="2026-08-25T08:59:21.051" personId="{73ADD5D2-1DCC-4B59-9C2E-03A4154E5C7C}" id="{66ABEC4D-FF3E-CAD8-0E09-2F2B5C0DDE75}">
    <xltc:text>来源：26H1-滨江服务业绩.pdf，p3。金额统一换算为人民币亿元。</xltc:text>
  </xltc:threadedComment>
  <xltc:threadedComment ref="F13" dT="2026-08-25T08:59:21.051" personId="{73ADD5D2-1DCC-4B59-9C2E-03A4154E5C7C}" id="{4E57ED8A-D591-0B11-90D0-F6443D52B6F5}">
    <xltc:text>来源：26H1-滨江服务业绩.pdf，p3。金额统一换算为人民币亿元。</xltc:text>
  </xltc:threadedComment>
  <xltc:threadedComment ref="F14" dT="2026-08-25T08:59:21.051" personId="{73ADD5D2-1DCC-4B59-9C2E-03A4154E5C7C}" id="{CD7923C3-3DEF-0956-3088-47FA9CB587E1}">
    <xltc:text>来源：26H1-滨江服务业绩.pdf，p3。金额统一换算为人民币亿元。</xltc:text>
  </xltc:threadedComment>
  <xltc:threadedComment ref="F22" dT="2026-08-25T08:59:21.051" personId="{73ADD5D2-1DCC-4B59-9C2E-03A4154E5C7C}" id="{C30DC8AA-50A2-2561-E72E-5C6AD1EA3C2C}">
    <xltc:text>来源：26H1-滨江服务业绩.pdf，p10。金额统一换算为人民币亿元。</xltc:text>
  </xltc:threadedComment>
  <xltc:threadedComment ref="F23" dT="2026-08-25T08:59:21.051" personId="{73ADD5D2-1DCC-4B59-9C2E-03A4154E5C7C}" id="{2B8A03F0-62E1-00C8-F75A-2CF669E1164E}">
    <xltc:text>来源：26H1-滨江服务业绩.pdf，p10。金额统一换算为人民币亿元。</xltc:text>
  </xltc:threadedComment>
  <xltc:threadedComment ref="F25" dT="2026-08-25T08:59:21.051" personId="{73ADD5D2-1DCC-4B59-9C2E-03A4154E5C7C}" id="{4BEE9E60-F03F-09CF-4444-B920617D2E56}">
    <xltc:text>来源：26H1-滨江服务业绩.pdf，p10。金额统一换算为人民币亿元。</xltc:text>
  </xltc:threadedComment>
  <xltc:threadedComment ref="F26" dT="2026-08-25T08:59:21.051" personId="{73ADD5D2-1DCC-4B59-9C2E-03A4154E5C7C}" id="{0C8EED45-573C-D916-D047-A80C8A18A984}">
    <xltc:text>来源：26H1-滨江服务业绩.pdf，p10。金额统一换算为人民币亿元。</xltc:text>
  </xltc:threadedComment>
  <xltc:threadedComment ref="F32" dT="2026-08-25T08:59:21.051" personId="{73ADD5D2-1DCC-4B59-9C2E-03A4154E5C7C}" id="{E0DD9C73-CDD1-0023-47B0-7552A59EB0C8}">
    <xltc:text>来源：26H1-滨江服务业绩.pdf，p10。金额统一换算为人民币亿元。</xltc:text>
  </xltc:threadedComment>
  <xltc:threadedComment ref="F33" dT="2026-08-25T08:59:21.051" personId="{73ADD5D2-1DCC-4B59-9C2E-03A4154E5C7C}" id="{164026F4-D5D3-0EE0-BD3E-77D5F23C76A8}">
    <xltc:text>来源：26H1-滨江服务业绩.pdf，p10。金额统一换算为人民币亿元。</xltc:text>
  </xltc:threadedComment>
  <xltc:threadedComment ref="F35" dT="2026-08-25T08:59:21.051" personId="{73ADD5D2-1DCC-4B59-9C2E-03A4154E5C7C}" id="{9067760E-F2D6-5891-499B-DACC32424C55}">
    <xltc:text>来源：26H1-滨江服务业绩.pdf，p10。金额统一换算为人民币亿元。</xltc:text>
  </xltc:threadedComment>
  <xltc:threadedComment ref="F36" dT="2026-08-25T08:59:21.051" personId="{73ADD5D2-1DCC-4B59-9C2E-03A4154E5C7C}" id="{02C013B3-4AFA-3827-A8EE-40C17D478D56}">
    <xltc:text>来源：26H1-滨江服务业绩.pdf，p10。金额统一换算为人民币亿元。</xltc:text>
  </xltc:threadedComment>
  <xltc:threadedComment ref="F42" dT="2026-08-25T08:59:21.051" personId="{73ADD5D2-1DCC-4B59-9C2E-03A4154E5C7C}" id="{ECCF0A36-4DA5-C5AB-5168-99FFD239B352}">
    <xltc:text>来源：26H1-滨江服务业绩.pdf，p10。金额统一换算为人民币亿元。</xltc:text>
  </xltc:threadedComment>
  <xltc:threadedComment ref="F43" dT="2026-08-25T08:59:21.051" personId="{73ADD5D2-1DCC-4B59-9C2E-03A4154E5C7C}" id="{0D421883-38F7-742D-DA22-94B728705716}">
    <xltc:text>来源：26H1-滨江服务业绩.pdf，p10。金额统一换算为人民币亿元。</xltc:text>
  </xltc:threadedComment>
  <xltc:threadedComment ref="F45" dT="2026-08-25T08:59:21.051" personId="{73ADD5D2-1DCC-4B59-9C2E-03A4154E5C7C}" id="{FEC50AE4-D2AF-3F0F-F082-695ECF2D3C9D}">
    <xltc:text>来源：26H1-滨江服务业绩.pdf，p10。金额统一换算为人民币亿元。</xltc:text>
  </xltc:threadedComment>
  <xltc:threadedComment ref="F46" dT="2026-08-25T08:59:21.051" personId="{73ADD5D2-1DCC-4B59-9C2E-03A4154E5C7C}" id="{19F81CD5-FC2A-99FD-1A58-225B0629CD94}">
    <xltc:text>来源：26H1-滨江服务业绩.pdf，p10。金额统一换算为人民币亿元。</xltc:text>
  </xltc:threadedComment>
  <xltc:threadedComment ref="F62" dT="2026-08-25T08:59:21.051" personId="{73ADD5D2-1DCC-4B59-9C2E-03A4154E5C7C}" id="{2237488C-31D0-2EF8-A9A4-EDBA325D22FC}">
    <xltc:text>来源：26H1-滨江服务业绩.pdf，p15；贸易应收款原值。金额统一换算为人民币亿元。</xltc:text>
  </xltc:threadedComment>
  <xltc:threadedComment ref="F63" dT="2026-08-25T08:59:21.051" personId="{73ADD5D2-1DCC-4B59-9C2E-03A4154E5C7C}" id="{D4BCC28F-468E-998A-AF1A-C406108EB07F}">
    <xltc:text>来源：26H1-滨江服务业绩.pdf，p15；贸易应收款原值。金额统一换算为人民币亿元。</xltc:text>
  </xltc:threadedComment>
  <xltc:threadedComment ref="F64" dT="2026-08-25T08:59:21.051" personId="{73ADD5D2-1DCC-4B59-9C2E-03A4154E5C7C}" id="{83C81FED-BB09-B6E8-F91A-50E77523A753}">
    <xltc:text>来源：26H1-滨江服务业绩.pdf，p15；贸易应收款原值。金额统一换算为人民币亿元。</xltc:text>
  </xltc:threadedComment>
  <xltc:threadedComment ref="F65" dT="2026-08-25T08:59:21.051" personId="{73ADD5D2-1DCC-4B59-9C2E-03A4154E5C7C}" id="{1C4A88F1-F828-9B62-6355-2B8E3320D5DA}">
    <xltc:text>来源：26H1-滨江服务业绩.pdf，p15；贸易应收款原值。金额统一换算为人民币亿元。</xltc:text>
  </xltc:threadedComment>
  <xltc:threadedComment ref="F70" dT="2026-08-25T08:59:21.051" personId="{73ADD5D2-1DCC-4B59-9C2E-03A4154E5C7C}" id="{03C23D04-0D12-346D-0DDB-8EFC9D765FAF}">
    <xltc:text>来源：26H1-滨江服务业绩.pdf，p17；贸易应付款。金额统一换算为人民币亿元。</xltc:text>
  </xltc:threadedComment>
  <xltc:threadedComment ref="F71" dT="2026-08-25T08:59:21.051" personId="{73ADD5D2-1DCC-4B59-9C2E-03A4154E5C7C}" id="{DBBA04B5-DACD-1558-AAF8-CC8EAF919DA5}">
    <xltc:text>来源：26H1-滨江服务业绩.pdf，p17；贸易应付款。金额统一换算为人民币亿元。</xltc:text>
  </xltc:threadedComment>
  <xltc:threadedComment ref="F72" dT="2026-08-25T08:59:21.051" personId="{73ADD5D2-1DCC-4B59-9C2E-03A4154E5C7C}" id="{6D377A3A-F6ED-79DC-80FD-2D08362E9941}">
    <xltc:text>来源：26H1-滨江服务业绩.pdf，p17；贸易应付款。金额统一换算为人民币亿元。</xltc:text>
  </xltc:threadedComment>
  <xltc:threadedComment ref="F78" dT="2026-08-25T08:59:21.051" personId="{73ADD5D2-1DCC-4B59-9C2E-03A4154E5C7C}" id="{DE6CFFEA-4FAC-7F94-3A70-CEFB324ECD6D}">
    <xltc:text>来源：26H1-滨江服务业绩.pdf，p2；口径为合约面积。金额统一换算为人民币亿元。</xltc:text>
  </xltc:threadedComment>
  <xltc:threadedComment ref="F79" dT="2026-08-25T08:59:21.051" personId="{73ADD5D2-1DCC-4B59-9C2E-03A4154E5C7C}" id="{7B77735D-E8C2-44FF-780A-17BC79F8A568}">
    <xltc:text>来源：26H1-滨江服务业绩.pdf，p2；口径为合约面积。金额统一换算为人民币亿元。</xltc:text>
  </xltc:threadedComment>
  <xltc:threadedComment ref="G4" dT="2026-08-25T08:59:21.052" personId="{73ADD5D2-1DCC-4B59-9C2E-03A4154E5C7C}" id="{2C14C688-0E43-153C-8D71-AA7B985E9EA0}">
    <xltc:text>来源：26H1-保利物业业绩.pdf，p3。金额统一换算为人民币亿元。</xltc:text>
  </xltc:threadedComment>
  <xltc:threadedComment ref="G5" dT="2026-08-25T08:59:21.052" personId="{73ADD5D2-1DCC-4B59-9C2E-03A4154E5C7C}" id="{A77E4F58-EDE6-594D-DC22-70AEAB6CB010}">
    <xltc:text>来源：26H1-保利物业业绩.pdf，p3。金额统一换算为人民币亿元。</xltc:text>
  </xltc:threadedComment>
  <xltc:threadedComment ref="G7" dT="2026-08-25T08:59:21.052" personId="{73ADD5D2-1DCC-4B59-9C2E-03A4154E5C7C}" id="{A27C0B25-D684-8D07-DA50-61A8561E73EF}">
    <xltc:text>来源：26H1-保利物业业绩.pdf，p3。金额统一换算为人民币亿元。</xltc:text>
  </xltc:threadedComment>
  <xltc:threadedComment ref="G8" dT="2026-08-25T08:59:21.052" personId="{73ADD5D2-1DCC-4B59-9C2E-03A4154E5C7C}" id="{ED14BB79-54CB-F9F2-1EC0-98DABBAACBD7}">
    <xltc:text>来源：26H1-保利物业业绩.pdf，p3。金额统一换算为人民币亿元。</xltc:text>
  </xltc:threadedComment>
  <xltc:threadedComment ref="G13" dT="2026-08-25T08:59:21.052" personId="{73ADD5D2-1DCC-4B59-9C2E-03A4154E5C7C}" id="{3FCF832D-5E10-92CA-033E-9A153D83D673}">
    <xltc:text>来源：26H1-保利物业业绩.pdf，p3。金额统一换算为人民币亿元。</xltc:text>
  </xltc:threadedComment>
  <xltc:threadedComment ref="G14" dT="2026-08-25T08:59:21.052" personId="{73ADD5D2-1DCC-4B59-9C2E-03A4154E5C7C}" id="{F0FECFEB-CF25-49B7-51C5-34738F16DA03}">
    <xltc:text>来源：26H1-保利物业业绩.pdf，p3。金额统一换算为人民币亿元。</xltc:text>
  </xltc:threadedComment>
  <xltc:threadedComment ref="G22" dT="2026-08-25T08:59:21.052" personId="{73ADD5D2-1DCC-4B59-9C2E-03A4154E5C7C}" id="{B1CBA6C3-E19D-1050-36CE-21EE1C815774}">
    <xltc:text>来源：26H1-保利物业业绩.pdf，p23-p24。金额统一换算为人民币亿元。</xltc:text>
  </xltc:threadedComment>
  <xltc:threadedComment ref="G23" dT="2026-08-25T08:59:21.052" personId="{73ADD5D2-1DCC-4B59-9C2E-03A4154E5C7C}" id="{C1C0E3B0-BA94-1B8A-9E7B-8B1B58348BF6}">
    <xltc:text>来源：26H1-保利物业业绩.pdf，p23-p24。金额统一换算为人民币亿元。</xltc:text>
  </xltc:threadedComment>
  <xltc:threadedComment ref="G25" dT="2026-08-25T08:59:21.052" personId="{73ADD5D2-1DCC-4B59-9C2E-03A4154E5C7C}" id="{8EB5EB7D-680A-8DC7-2472-82895C7EDD01}">
    <xltc:text>来源：26H1-保利物业业绩.pdf，p23-p24。金额统一换算为人民币亿元。</xltc:text>
  </xltc:threadedComment>
  <xltc:threadedComment ref="G26" dT="2026-08-25T08:59:21.052" personId="{73ADD5D2-1DCC-4B59-9C2E-03A4154E5C7C}" id="{865F0328-27F9-C111-0106-098B4351A89E}">
    <xltc:text>来源：26H1-保利物业业绩.pdf，p23-p24。金额统一换算为人民币亿元。</xltc:text>
  </xltc:threadedComment>
  <xltc:threadedComment ref="G32" dT="2026-08-25T08:59:21.052" personId="{73ADD5D2-1DCC-4B59-9C2E-03A4154E5C7C}" id="{E3190C00-0312-2C79-00E5-647B865F2E97}">
    <xltc:text>来源：26H1-保利物业业绩.pdf，p23-p24。金额统一换算为人民币亿元。</xltc:text>
  </xltc:threadedComment>
  <xltc:threadedComment ref="G33" dT="2026-08-25T08:59:21.052" personId="{73ADD5D2-1DCC-4B59-9C2E-03A4154E5C7C}" id="{D4E4DE87-86CD-68FC-ED5C-C6E5C54CA728}">
    <xltc:text>来源：26H1-保利物业业绩.pdf，p23-p24。金额统一换算为人民币亿元。</xltc:text>
  </xltc:threadedComment>
  <xltc:threadedComment ref="G35" dT="2026-08-25T08:59:21.052" personId="{73ADD5D2-1DCC-4B59-9C2E-03A4154E5C7C}" id="{97BF74BF-2CFD-613F-C031-0D51CF32AB3D}">
    <xltc:text>来源：26H1-保利物业业绩.pdf，p23-p24。金额统一换算为人民币亿元。</xltc:text>
  </xltc:threadedComment>
  <xltc:threadedComment ref="G36" dT="2026-08-25T08:59:21.052" personId="{73ADD5D2-1DCC-4B59-9C2E-03A4154E5C7C}" id="{7716C14E-4129-1D07-A59D-DB01F80733BA}">
    <xltc:text>来源：26H1-保利物业业绩.pdf，p23-p24。金额统一换算为人民币亿元。</xltc:text>
  </xltc:threadedComment>
  <xltc:threadedComment ref="G42" dT="2026-08-25T08:59:21.052" personId="{73ADD5D2-1DCC-4B59-9C2E-03A4154E5C7C}" id="{311819F4-25BE-2420-52B5-D6DF82AD09C4}">
    <xltc:text>来源：26H1-保利物业业绩.pdf，p23-p24。金额统一换算为人民币亿元。</xltc:text>
  </xltc:threadedComment>
  <xltc:threadedComment ref="G43" dT="2026-08-25T08:59:21.052" personId="{73ADD5D2-1DCC-4B59-9C2E-03A4154E5C7C}" id="{101B6446-C63F-372F-FCDE-7E5DA561B849}">
    <xltc:text>来源：26H1-保利物业业绩.pdf，p23-p24。金额统一换算为人民币亿元。</xltc:text>
  </xltc:threadedComment>
  <xltc:threadedComment ref="G45" dT="2026-08-25T08:59:21.053" personId="{73ADD5D2-1DCC-4B59-9C2E-03A4154E5C7C}" id="{6D7F4F50-05F6-55B2-D49A-B6B2AC2F901E}">
    <xltc:text>来源：26H1-保利物业业绩.pdf，p23-p24。金额统一换算为人民币亿元。</xltc:text>
  </xltc:threadedComment>
  <xltc:threadedComment ref="G46" dT="2026-08-25T08:59:21.053" personId="{73ADD5D2-1DCC-4B59-9C2E-03A4154E5C7C}" id="{6AAF5F86-4B5F-7C23-BE3C-032DC68F15AD}">
    <xltc:text>来源：26H1-保利物业业绩.pdf，p23-p24。金额统一换算为人民币亿元。</xltc:text>
  </xltc:threadedComment>
  <xltc:threadedComment ref="G62" dT="2026-08-25T08:59:21.053" personId="{73ADD5D2-1DCC-4B59-9C2E-03A4154E5C7C}" id="{6C1337DD-A4E4-E707-2009-1DB69DB55F56}">
    <xltc:text>来源：26H1-保利物业业绩.pdf，p11；贸易应收款原值，不含应收票据。金额统一换算为人民币亿元。</xltc:text>
  </xltc:threadedComment>
  <xltc:threadedComment ref="G63" dT="2026-08-25T08:59:21.053" personId="{73ADD5D2-1DCC-4B59-9C2E-03A4154E5C7C}" id="{DF71BFD2-9344-7093-5C41-5A74CD6B6AE5}">
    <xltc:text>来源：26H1-保利物业业绩.pdf，p11；贸易应收款原值，不含应收票据。金额统一换算为人民币亿元。</xltc:text>
  </xltc:threadedComment>
  <xltc:threadedComment ref="G64" dT="2026-08-25T08:59:21.053" personId="{73ADD5D2-1DCC-4B59-9C2E-03A4154E5C7C}" id="{2EE1843A-3DB2-99B3-0B2C-27D4E52027D6}">
    <xltc:text>来源：26H1-保利物业业绩.pdf，p11；贸易应收款原值，不含应收票据。金额统一换算为人民币亿元。</xltc:text>
  </xltc:threadedComment>
  <xltc:threadedComment ref="G65" dT="2026-08-25T08:59:21.053" personId="{73ADD5D2-1DCC-4B59-9C2E-03A4154E5C7C}" id="{DDC1ED27-3E33-D0D2-032F-383D07C27B56}">
    <xltc:text>来源：26H1-保利物业业绩.pdf，p11；贸易应收款原值，不含应收票据。金额统一换算为人民币亿元。</xltc:text>
  </xltc:threadedComment>
  <xltc:threadedComment ref="G70" dT="2026-08-25T08:59:21.053" personId="{73ADD5D2-1DCC-4B59-9C2E-03A4154E5C7C}" id="{5B92BF04-9EA2-1DC6-76EC-2A8BBC2F894F}">
    <xltc:text>来源：26H1-保利物业业绩.pdf，p13；贸易应付款。金额统一换算为人民币亿元。</xltc:text>
  </xltc:threadedComment>
  <xltc:threadedComment ref="G71" dT="2026-08-25T08:59:21.053" personId="{73ADD5D2-1DCC-4B59-9C2E-03A4154E5C7C}" id="{6E7EEA8F-298B-9410-77FE-392D53DE2B07}">
    <xltc:text>来源：26H1-保利物业业绩.pdf，p13；贸易应付款。金额统一换算为人民币亿元。</xltc:text>
  </xltc:threadedComment>
  <xltc:threadedComment ref="G72" dT="2026-08-25T08:59:21.053" personId="{73ADD5D2-1DCC-4B59-9C2E-03A4154E5C7C}" id="{F918E7B1-505A-47B9-F3BD-B405BB076115}">
    <xltc:text>来源：26H1-保利物业业绩.pdf，p13；贸易应付款。金额统一换算为人民币亿元。</xltc:text>
  </xltc:threadedComment>
  <xltc:threadedComment ref="G78" dT="2026-08-25T08:59:21.053" personId="{73ADD5D2-1DCC-4B59-9C2E-03A4154E5C7C}" id="{1D3248E2-0179-E264-9F57-1A861F5F0965}">
    <xltc:text>来源：26H1-保利物业业绩.pdf，p16；口径为合同管理面积。金额统一换算为人民币亿元。</xltc:text>
  </xltc:threadedComment>
  <xltc:threadedComment ref="G79" dT="2026-08-25T08:59:21.053" personId="{73ADD5D2-1DCC-4B59-9C2E-03A4154E5C7C}" id="{FECC322F-F53A-05E1-0BA1-627C63F948A4}">
    <xltc:text>来源：26H1-保利物业业绩.pdf，p16；口径为合同管理面积。金额统一换算为人民币亿元。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4b3b834bd0714199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7"/>
  <sheetViews>
    <sheetView showGridLines="0" tabSelected="1" zoomScale="130" zoomScaleNormal="130" workbookViewId="0">
      <pane xSplit="2" ySplit="2" topLeftCell="E22" activePane="bottomRight" state="frozen"/>
      <selection pane="topRight" activeCell="C1" sqref="C1"/>
      <selection pane="bottomLeft" activeCell="A3" sqref="A3"/>
      <selection pane="bottomRight" activeCell="I30" sqref="I30"/>
    </sheetView>
  </sheetViews>
  <sheetFormatPr defaultRowHeight="14.25"/>
  <cols>
    <col min="1" max="1" width="2.875" style="1" customWidth="1"/>
    <col min="2" max="2" width="20.75" style="1" customWidth="1"/>
    <col min="3" max="3" width="15.75" style="1" customWidth="1"/>
    <col min="4" max="4" width="17.25" style="1" bestFit="1" customWidth="1"/>
    <col min="5" max="5" width="18.875" style="1" customWidth="1"/>
    <col min="6" max="8" width="15.125" style="1" bestFit="1" customWidth="1"/>
    <col min="9" max="9" width="55.5" style="97" customWidth="1"/>
    <col min="10" max="10" width="12" style="1" customWidth="1"/>
    <col min="11" max="12" width="15.125" style="1" bestFit="1" customWidth="1"/>
    <col min="13" max="16384" width="9" style="1"/>
  </cols>
  <sheetData>
    <row r="1" spans="2:12">
      <c r="B1" s="13"/>
      <c r="C1" s="14"/>
      <c r="D1" s="14"/>
      <c r="E1" s="14"/>
      <c r="F1" s="14"/>
      <c r="G1" s="14"/>
      <c r="H1" s="14"/>
      <c r="I1" s="82"/>
      <c r="J1" s="14"/>
      <c r="K1" s="14"/>
      <c r="L1" s="14"/>
    </row>
    <row r="2" spans="2:12" ht="28.5">
      <c r="B2" s="12" t="s">
        <v>137</v>
      </c>
      <c r="C2" s="12" t="s">
        <v>124</v>
      </c>
      <c r="D2" s="12" t="s">
        <v>117</v>
      </c>
      <c r="E2" s="12" t="s">
        <v>118</v>
      </c>
      <c r="F2" s="12" t="s">
        <v>119</v>
      </c>
      <c r="G2" s="12" t="s">
        <v>120</v>
      </c>
      <c r="H2" s="12" t="s">
        <v>121</v>
      </c>
      <c r="I2" s="12" t="s">
        <v>141</v>
      </c>
      <c r="J2" s="12" t="s">
        <v>134</v>
      </c>
      <c r="K2" s="12" t="s">
        <v>135</v>
      </c>
      <c r="L2" s="12" t="s">
        <v>136</v>
      </c>
    </row>
    <row r="3" spans="2:12">
      <c r="B3" s="2" t="s">
        <v>0</v>
      </c>
      <c r="C3" s="3"/>
      <c r="D3" s="3"/>
      <c r="E3" s="3"/>
      <c r="F3" s="3"/>
      <c r="G3" s="3"/>
      <c r="H3" s="3"/>
      <c r="I3" s="83"/>
      <c r="J3" s="3"/>
      <c r="K3" s="3"/>
      <c r="L3" s="3"/>
    </row>
    <row r="4" spans="2:12">
      <c r="B4" s="66" t="s">
        <v>1</v>
      </c>
      <c r="C4" s="67">
        <v>69.75</v>
      </c>
      <c r="D4" s="67">
        <v>191.12370000000001</v>
      </c>
      <c r="E4" s="67">
        <v>98.708560000000006</v>
      </c>
      <c r="F4" s="67">
        <v>88.29177</v>
      </c>
      <c r="G4" s="67">
        <v>74.84778</v>
      </c>
      <c r="H4" s="67">
        <v>22.983910000000002</v>
      </c>
      <c r="I4" s="84"/>
      <c r="J4" s="67">
        <v>245</v>
      </c>
      <c r="K4" s="67"/>
      <c r="L4" s="67"/>
    </row>
    <row r="5" spans="2:12" hidden="1">
      <c r="B5" s="22" t="s">
        <v>2</v>
      </c>
      <c r="C5" s="6"/>
      <c r="D5" s="6">
        <v>181.37457000000001</v>
      </c>
      <c r="E5" s="6">
        <v>92.887110000000007</v>
      </c>
      <c r="F5" s="6">
        <v>83.919650000000004</v>
      </c>
      <c r="G5" s="6">
        <v>71.607730000000004</v>
      </c>
      <c r="H5" s="6">
        <v>20.250409999999999</v>
      </c>
      <c r="I5" s="85"/>
      <c r="J5" s="6"/>
      <c r="K5" s="6"/>
      <c r="L5" s="6"/>
    </row>
    <row r="6" spans="2:12" s="5" customFormat="1">
      <c r="B6" s="4" t="s">
        <v>3</v>
      </c>
      <c r="C6" s="17">
        <v>2.8000000000000001E-2</v>
      </c>
      <c r="D6" s="17">
        <f>IF(OR(D4="",D5=""),"",D4/D5-1)</f>
        <v>5.3751361064563907E-2</v>
      </c>
      <c r="E6" s="17">
        <f>IF(OR(E4="",E5=""),"",E4/E5-1)</f>
        <v>6.2672312659958873E-2</v>
      </c>
      <c r="F6" s="17">
        <f>IF(OR(F4="",F5=""),"",F4/F5-1)</f>
        <v>5.2098882681231418E-2</v>
      </c>
      <c r="G6" s="17">
        <f>IF(OR(G4="",G5=""),"",G4/G5-1)</f>
        <v>4.524721004282628E-2</v>
      </c>
      <c r="H6" s="17">
        <f>IF(OR(H4="",H5=""),"",H4/H5-1)</f>
        <v>0.1349849212929517</v>
      </c>
      <c r="I6" s="86" t="s">
        <v>114</v>
      </c>
      <c r="J6" s="17">
        <v>5.7000000000000002E-2</v>
      </c>
      <c r="K6" s="17"/>
      <c r="L6" s="17"/>
    </row>
    <row r="7" spans="2:12">
      <c r="B7" s="66" t="s">
        <v>4</v>
      </c>
      <c r="C7" s="67">
        <v>14.43</v>
      </c>
      <c r="D7" s="67">
        <v>24.191590000000001</v>
      </c>
      <c r="E7" s="67">
        <v>19.691189999999999</v>
      </c>
      <c r="F7" s="67">
        <v>16.940190000000001</v>
      </c>
      <c r="G7" s="67">
        <v>11.13395</v>
      </c>
      <c r="H7" s="67">
        <v>4.7726800000000003</v>
      </c>
      <c r="I7" s="84"/>
      <c r="J7" s="67">
        <v>44.4</v>
      </c>
      <c r="K7" s="67"/>
      <c r="L7" s="67"/>
    </row>
    <row r="8" spans="2:12" hidden="1">
      <c r="B8" s="22" t="s">
        <v>5</v>
      </c>
      <c r="C8" s="7"/>
      <c r="D8" s="7">
        <v>24.928730000000002</v>
      </c>
      <c r="E8" s="7">
        <v>18.080960000000001</v>
      </c>
      <c r="F8" s="7">
        <v>16.267289999999999</v>
      </c>
      <c r="G8" s="7">
        <v>12.103680000000001</v>
      </c>
      <c r="H8" s="7">
        <v>4.5507600000000004</v>
      </c>
      <c r="I8" s="85"/>
      <c r="J8" s="7"/>
      <c r="K8" s="7"/>
      <c r="L8" s="7"/>
    </row>
    <row r="9" spans="2:12" s="5" customFormat="1">
      <c r="B9" s="4" t="s">
        <v>3</v>
      </c>
      <c r="C9" s="17">
        <v>-2.5999999999999999E-2</v>
      </c>
      <c r="D9" s="17">
        <f>IF(OR(D7="",D8=""),"",D7/D8-1)</f>
        <v>-2.9569897864833106E-2</v>
      </c>
      <c r="E9" s="17">
        <f t="shared" ref="E9:L9" si="0">IF(OR(E7="",E8=""),"",E7/E8-1)</f>
        <v>8.9056665132824619E-2</v>
      </c>
      <c r="F9" s="17">
        <f>IF(OR(F7="",F8=""),"",F7/F8-1)</f>
        <v>4.136521817709049E-2</v>
      </c>
      <c r="G9" s="17">
        <f t="shared" si="0"/>
        <v>-8.0118608555414528E-2</v>
      </c>
      <c r="H9" s="17">
        <f t="shared" si="0"/>
        <v>4.876548093065769E-2</v>
      </c>
      <c r="I9" s="86"/>
      <c r="J9" s="17">
        <v>3.3000000000000002E-2</v>
      </c>
      <c r="K9" s="17" t="str">
        <f t="shared" si="0"/>
        <v/>
      </c>
      <c r="L9" s="17" t="str">
        <f t="shared" si="0"/>
        <v/>
      </c>
    </row>
    <row r="10" spans="2:12">
      <c r="B10" s="66" t="s">
        <v>6</v>
      </c>
      <c r="C10" s="68">
        <v>0.21199999999999999</v>
      </c>
      <c r="D10" s="68">
        <f t="shared" ref="D10:H11" si="1">IF(OR(D7="",D4=""),"",D7/D4)</f>
        <v>0.12657556336550621</v>
      </c>
      <c r="E10" s="68">
        <f t="shared" si="1"/>
        <v>0.19948817002294428</v>
      </c>
      <c r="F10" s="68">
        <f>IF(OR(F7="",F4=""),"",F7/F4)</f>
        <v>0.19186601423892624</v>
      </c>
      <c r="G10" s="68">
        <f t="shared" si="1"/>
        <v>0.14875457896012415</v>
      </c>
      <c r="H10" s="68">
        <f t="shared" si="1"/>
        <v>0.20765309296808071</v>
      </c>
      <c r="I10" s="87"/>
      <c r="J10" s="68">
        <f>J7/J4</f>
        <v>0.18122448979591838</v>
      </c>
      <c r="K10" s="68"/>
      <c r="L10" s="68"/>
    </row>
    <row r="11" spans="2:12" hidden="1">
      <c r="B11" s="22" t="s">
        <v>7</v>
      </c>
      <c r="C11" s="18"/>
      <c r="D11" s="18">
        <f t="shared" si="1"/>
        <v>0.13744335823925041</v>
      </c>
      <c r="E11" s="18">
        <f t="shared" si="1"/>
        <v>0.19465521104058464</v>
      </c>
      <c r="F11" s="18">
        <f>IF(OR(F8="",F5=""),"",F8/F5)</f>
        <v>0.19384363495319629</v>
      </c>
      <c r="G11" s="18">
        <f t="shared" si="1"/>
        <v>0.16902756168921987</v>
      </c>
      <c r="H11" s="18">
        <f t="shared" si="1"/>
        <v>0.22472433891461954</v>
      </c>
      <c r="I11" s="86"/>
      <c r="J11" s="18"/>
      <c r="K11" s="18"/>
      <c r="L11" s="18"/>
    </row>
    <row r="12" spans="2:12" s="5" customFormat="1">
      <c r="B12" s="4" t="s">
        <v>8</v>
      </c>
      <c r="C12" s="19">
        <v>-5.3</v>
      </c>
      <c r="D12" s="19">
        <f>IF(OR(D10="",D11=""),"",(D10-D11)*100)</f>
        <v>-1.0867794873744203</v>
      </c>
      <c r="E12" s="19">
        <f>IF(OR(E10="",E11=""),"",(E10-E11)*100)</f>
        <v>0.48329589823596364</v>
      </c>
      <c r="F12" s="19">
        <f>IF(OR(F10="",F11=""),"",(F10-F11)*100)</f>
        <v>-0.19776207142700453</v>
      </c>
      <c r="G12" s="19">
        <f>IF(OR(G10="",G11=""),"",(G10-G11)*100)</f>
        <v>-2.0272982729095723</v>
      </c>
      <c r="H12" s="19">
        <f>IF(OR(H10="",H11=""),"",(H10-H11)*100)</f>
        <v>-1.7071245946538833</v>
      </c>
      <c r="I12" s="88" t="s">
        <v>138</v>
      </c>
      <c r="J12" s="19">
        <v>-0.4</v>
      </c>
      <c r="K12" s="19"/>
      <c r="L12" s="19"/>
    </row>
    <row r="13" spans="2:12">
      <c r="B13" s="66" t="s">
        <v>9</v>
      </c>
      <c r="C13" s="67">
        <v>8.93</v>
      </c>
      <c r="D13" s="67">
        <v>7.8156499999999998</v>
      </c>
      <c r="E13" s="67">
        <v>7.0627700000000004</v>
      </c>
      <c r="F13" s="67">
        <v>9.3349600000000006</v>
      </c>
      <c r="G13" s="67">
        <v>7.0058299999999996</v>
      </c>
      <c r="H13" s="67">
        <v>3.1500300000000001</v>
      </c>
      <c r="I13" s="84"/>
      <c r="J13" s="67">
        <v>9.5</v>
      </c>
      <c r="K13" s="67"/>
      <c r="L13" s="67"/>
    </row>
    <row r="14" spans="2:12" hidden="1">
      <c r="B14" s="22" t="s">
        <v>10</v>
      </c>
      <c r="C14" s="7"/>
      <c r="D14" s="7">
        <v>7.9199200000000003</v>
      </c>
      <c r="E14" s="7">
        <v>6.1284799999999997</v>
      </c>
      <c r="F14" s="7">
        <v>8.9061199999999996</v>
      </c>
      <c r="G14" s="7">
        <v>7.7018700000000004</v>
      </c>
      <c r="H14" s="7">
        <v>2.9770699999999999</v>
      </c>
      <c r="I14" s="85"/>
      <c r="J14" s="18"/>
      <c r="K14" s="7"/>
      <c r="L14" s="7"/>
    </row>
    <row r="15" spans="2:12" hidden="1">
      <c r="B15" s="22" t="s">
        <v>11</v>
      </c>
      <c r="C15" s="7"/>
      <c r="D15" s="7">
        <f>IF(OR(D13="",D14=""),"",D13-D14)</f>
        <v>-0.10427000000000053</v>
      </c>
      <c r="E15" s="7">
        <f>IF(OR(E13="",E14=""),"",E13-E14)</f>
        <v>0.93429000000000073</v>
      </c>
      <c r="F15" s="7">
        <f>IF(OR(F13="",F14=""),"",F13-F14)</f>
        <v>0.428840000000001</v>
      </c>
      <c r="G15" s="7">
        <f>IF(OR(G13="",G14=""),"",G13-G14)</f>
        <v>-0.69604000000000088</v>
      </c>
      <c r="H15" s="7">
        <f>IF(OR(H13="",H14=""),"",H13-H14)</f>
        <v>0.17296000000000022</v>
      </c>
      <c r="I15" s="85"/>
      <c r="J15" s="19">
        <v>-4.5999999999999996</v>
      </c>
      <c r="K15" s="7"/>
      <c r="L15" s="7"/>
    </row>
    <row r="16" spans="2:12" s="5" customFormat="1">
      <c r="B16" s="4" t="s">
        <v>3</v>
      </c>
      <c r="C16" s="17">
        <v>0.114</v>
      </c>
      <c r="D16" s="17">
        <f>IF(OR(D13="",D14=""),"",D13/D14-1)</f>
        <v>-1.3165537025626617E-2</v>
      </c>
      <c r="E16" s="17">
        <f>IF(OR(E13="",E14=""),"",E13/E14-1)</f>
        <v>0.15245052606845433</v>
      </c>
      <c r="F16" s="17">
        <f>IF(OR(F13="",F14=""),"",F13/F14-1)</f>
        <v>4.8151158978320563E-2</v>
      </c>
      <c r="G16" s="17">
        <f>IF(OR(G13="",G14=""),"",G13/G14-1)</f>
        <v>-9.0372857500840786E-2</v>
      </c>
      <c r="H16" s="17">
        <f>IF(OR(H13="",H14=""),"",H13/H14-1)</f>
        <v>5.8097391058994363E-2</v>
      </c>
      <c r="I16" s="86"/>
      <c r="J16" s="17">
        <v>-4.5999999999999999E-2</v>
      </c>
      <c r="K16" s="17"/>
      <c r="L16" s="17"/>
    </row>
    <row r="17" spans="2:12">
      <c r="B17" s="66" t="s">
        <v>12</v>
      </c>
      <c r="C17" s="68">
        <v>0.13100000000000001</v>
      </c>
      <c r="D17" s="68">
        <f t="shared" ref="D17:H18" si="2">IF(OR(D13="",D4=""),"",D13/D4)</f>
        <v>4.0893149305920716E-2</v>
      </c>
      <c r="E17" s="68">
        <f t="shared" si="2"/>
        <v>7.1551747892989223E-2</v>
      </c>
      <c r="F17" s="68">
        <f>IF(OR(F13="",F4=""),"",F13/F4)</f>
        <v>0.10572854072355782</v>
      </c>
      <c r="G17" s="68">
        <f t="shared" si="2"/>
        <v>9.3601039336103212E-2</v>
      </c>
      <c r="H17" s="68">
        <f t="shared" si="2"/>
        <v>0.13705370409125339</v>
      </c>
      <c r="I17" s="87"/>
      <c r="J17" s="68">
        <v>9.5000000000000001E-2</v>
      </c>
      <c r="K17" s="68"/>
      <c r="L17" s="68"/>
    </row>
    <row r="18" spans="2:12" hidden="1">
      <c r="B18" s="22" t="s">
        <v>13</v>
      </c>
      <c r="C18" s="18"/>
      <c r="D18" s="18">
        <f t="shared" si="2"/>
        <v>4.3666099387582286E-2</v>
      </c>
      <c r="E18" s="18">
        <f t="shared" si="2"/>
        <v>6.5977722850888557E-2</v>
      </c>
      <c r="F18" s="18">
        <f>IF(OR(F14="",F5=""),"",F14/F5)</f>
        <v>0.10612675338850912</v>
      </c>
      <c r="G18" s="18">
        <f t="shared" si="2"/>
        <v>0.10755640487416653</v>
      </c>
      <c r="H18" s="18">
        <f t="shared" si="2"/>
        <v>0.14701282591315434</v>
      </c>
      <c r="I18" s="86"/>
      <c r="J18" s="18"/>
      <c r="K18" s="18"/>
      <c r="L18" s="18"/>
    </row>
    <row r="19" spans="2:12" s="5" customFormat="1" ht="28.5">
      <c r="B19" s="4" t="s">
        <v>8</v>
      </c>
      <c r="C19" s="19">
        <v>1</v>
      </c>
      <c r="D19" s="19">
        <f>IF(OR(D17="",D18=""),"",(D17-D18)*100)</f>
        <v>-0.27729500816615693</v>
      </c>
      <c r="E19" s="19">
        <f>IF(OR(E17="",E18=""),"",(E17-E18)*100)</f>
        <v>0.55740250421006665</v>
      </c>
      <c r="F19" s="19">
        <f>IF(OR(F17="",F18=""),"",(F17-F18)*100)</f>
        <v>-3.9821266495129737E-2</v>
      </c>
      <c r="G19" s="19">
        <f>IF(OR(G17="",G18=""),"",(G17-G18)*100)</f>
        <v>-1.3955365538063313</v>
      </c>
      <c r="H19" s="19">
        <f>IF(OR(H17="",H18=""),"",(H17-H18)*100)</f>
        <v>-0.99591218219009514</v>
      </c>
      <c r="I19" s="88" t="s">
        <v>127</v>
      </c>
      <c r="J19" s="19">
        <v>-0.4</v>
      </c>
      <c r="K19" s="19"/>
      <c r="L19" s="19"/>
    </row>
    <row r="20" spans="2:12">
      <c r="B20" s="2" t="s">
        <v>14</v>
      </c>
      <c r="C20" s="3"/>
      <c r="D20" s="3"/>
      <c r="E20" s="3"/>
      <c r="F20" s="3"/>
      <c r="G20" s="3"/>
      <c r="H20" s="3"/>
      <c r="I20" s="83"/>
      <c r="J20" s="3"/>
      <c r="K20" s="3"/>
      <c r="L20" s="3"/>
    </row>
    <row r="21" spans="2:12">
      <c r="B21" s="8" t="s">
        <v>15</v>
      </c>
      <c r="C21" s="16" t="s">
        <v>140</v>
      </c>
      <c r="D21" s="9"/>
      <c r="E21" s="9"/>
      <c r="F21" s="9"/>
      <c r="G21" s="9"/>
      <c r="H21" s="9"/>
      <c r="I21" s="89"/>
      <c r="J21" s="9"/>
      <c r="K21" s="9"/>
      <c r="L21" s="9"/>
    </row>
    <row r="22" spans="2:12">
      <c r="B22" s="66" t="s">
        <v>1</v>
      </c>
      <c r="C22" s="67">
        <f>47.43+17.71</f>
        <v>65.14</v>
      </c>
      <c r="D22" s="67">
        <v>169.71250000000001</v>
      </c>
      <c r="E22" s="67">
        <v>72.995689999999996</v>
      </c>
      <c r="F22" s="67">
        <v>70.801929999999999</v>
      </c>
      <c r="G22" s="67">
        <v>62.019950000000001</v>
      </c>
      <c r="H22" s="67">
        <v>13.99901</v>
      </c>
      <c r="I22" s="84"/>
      <c r="J22" s="67">
        <v>145.1</v>
      </c>
      <c r="K22" s="67"/>
      <c r="L22" s="67"/>
    </row>
    <row r="23" spans="2:12" hidden="1">
      <c r="B23" s="22" t="s">
        <v>2</v>
      </c>
      <c r="C23" s="7"/>
      <c r="D23" s="7">
        <v>158.08698999999999</v>
      </c>
      <c r="E23" s="7">
        <v>66.328559999999996</v>
      </c>
      <c r="F23" s="7">
        <v>63.247509999999998</v>
      </c>
      <c r="G23" s="7">
        <v>56.676780000000001</v>
      </c>
      <c r="H23" s="7">
        <v>11.5837</v>
      </c>
      <c r="I23" s="85"/>
      <c r="J23" s="7"/>
      <c r="K23" s="7"/>
      <c r="L23" s="7"/>
    </row>
    <row r="24" spans="2:12" s="5" customFormat="1">
      <c r="B24" s="4" t="s">
        <v>3</v>
      </c>
      <c r="C24" s="17">
        <v>2.3E-2</v>
      </c>
      <c r="D24" s="17">
        <f>IF(OR(D22="",D23=""),"",D22/D23-1)</f>
        <v>7.3538689047087491E-2</v>
      </c>
      <c r="E24" s="17">
        <f>IF(OR(E22="",E23=""),"",E22/E23-1)</f>
        <v>0.1005167306511705</v>
      </c>
      <c r="F24" s="17">
        <f>IF(OR(F22="",F23=""),"",F22/F23-1)</f>
        <v>0.11944217250607969</v>
      </c>
      <c r="G24" s="17">
        <f>IF(OR(G22="",G23=""),"",G22/G23-1)</f>
        <v>9.4274410084694393E-2</v>
      </c>
      <c r="H24" s="17">
        <f>IF(OR(H22="",H23=""),"",H22/H23-1)</f>
        <v>0.20850937092638788</v>
      </c>
      <c r="I24" s="86" t="s">
        <v>139</v>
      </c>
      <c r="J24" s="17">
        <v>6.3E-2</v>
      </c>
      <c r="K24" s="17"/>
      <c r="L24" s="17"/>
    </row>
    <row r="25" spans="2:12">
      <c r="B25" s="66" t="s">
        <v>4</v>
      </c>
      <c r="C25" s="67">
        <f>11.44+2.83</f>
        <v>14.27</v>
      </c>
      <c r="D25" s="67">
        <v>18.507180000000002</v>
      </c>
      <c r="E25" s="67">
        <v>11.654</v>
      </c>
      <c r="F25" s="67">
        <v>11.20279</v>
      </c>
      <c r="G25" s="67">
        <v>8.0625900000000001</v>
      </c>
      <c r="H25" s="67">
        <v>2.3854799999999998</v>
      </c>
      <c r="I25" s="84"/>
      <c r="J25" s="67"/>
      <c r="K25" s="67"/>
      <c r="L25" s="67"/>
    </row>
    <row r="26" spans="2:12" hidden="1">
      <c r="B26" s="22" t="s">
        <v>5</v>
      </c>
      <c r="C26" s="7"/>
      <c r="D26" s="7">
        <v>18.15992</v>
      </c>
      <c r="E26" s="7">
        <v>10.178000000000001</v>
      </c>
      <c r="F26" s="7">
        <v>10.491250000000001</v>
      </c>
      <c r="G26" s="7">
        <v>8.7272200000000009</v>
      </c>
      <c r="H26" s="7">
        <v>2.1041300000000001</v>
      </c>
      <c r="I26" s="85"/>
      <c r="J26" s="7"/>
      <c r="K26" s="7"/>
      <c r="L26" s="7"/>
    </row>
    <row r="27" spans="2:12" s="5" customFormat="1">
      <c r="B27" s="4" t="s">
        <v>3</v>
      </c>
      <c r="C27" s="17">
        <v>-0.04</v>
      </c>
      <c r="D27" s="17">
        <f>IF(OR(D25="",D26=""),"",D25/D26-1)</f>
        <v>1.912233093537874E-2</v>
      </c>
      <c r="E27" s="17">
        <f>IF(OR(E25="",E26=""),"",E25/E26-1)</f>
        <v>0.14501866771467853</v>
      </c>
      <c r="F27" s="17">
        <f>IF(OR(F25="",F26=""),"",F25/F26-1)</f>
        <v>6.7822232813058436E-2</v>
      </c>
      <c r="G27" s="17">
        <f>IF(OR(G25="",G26=""),"",G25/G26-1)</f>
        <v>-7.615598094238496E-2</v>
      </c>
      <c r="H27" s="17">
        <f>IF(OR(H25="",H26=""),"",H25/H26-1)</f>
        <v>0.13371322114127926</v>
      </c>
      <c r="I27" s="86"/>
      <c r="J27" s="17"/>
      <c r="K27" s="17"/>
      <c r="L27" s="17"/>
    </row>
    <row r="28" spans="2:12">
      <c r="B28" s="66" t="s">
        <v>6</v>
      </c>
      <c r="C28" s="68">
        <f t="shared" ref="C28:H29" si="3">IF(OR(C25="",C22=""),"",C25/C22)</f>
        <v>0.21906662572919863</v>
      </c>
      <c r="D28" s="68">
        <f t="shared" si="3"/>
        <v>0.10905018781763277</v>
      </c>
      <c r="E28" s="68">
        <f t="shared" si="3"/>
        <v>0.15965326171997279</v>
      </c>
      <c r="F28" s="68">
        <f>IF(OR(F25="",F22=""),"",F25/F22)</f>
        <v>0.15822718391998636</v>
      </c>
      <c r="G28" s="68">
        <f t="shared" si="3"/>
        <v>0.12999994356654593</v>
      </c>
      <c r="H28" s="68">
        <f t="shared" si="3"/>
        <v>0.17040347853169616</v>
      </c>
      <c r="I28" s="87"/>
      <c r="J28" s="68">
        <v>0.218</v>
      </c>
      <c r="K28" s="68"/>
      <c r="L28" s="68"/>
    </row>
    <row r="29" spans="2:12" hidden="1">
      <c r="B29" s="22" t="s">
        <v>7</v>
      </c>
      <c r="C29" s="18"/>
      <c r="D29" s="18">
        <f t="shared" si="3"/>
        <v>0.1148729569713485</v>
      </c>
      <c r="E29" s="18">
        <f t="shared" si="3"/>
        <v>0.15344822803329367</v>
      </c>
      <c r="F29" s="18">
        <f>IF(OR(F26="",F23=""),"",F26/F23)</f>
        <v>0.16587609535932721</v>
      </c>
      <c r="G29" s="18">
        <f t="shared" si="3"/>
        <v>0.15398228339718667</v>
      </c>
      <c r="H29" s="18">
        <f t="shared" si="3"/>
        <v>0.18164576085361325</v>
      </c>
      <c r="I29" s="86"/>
      <c r="J29" s="18"/>
      <c r="K29" s="18"/>
      <c r="L29" s="18"/>
    </row>
    <row r="30" spans="2:12" s="5" customFormat="1" ht="28.5">
      <c r="B30" s="4" t="s">
        <v>8</v>
      </c>
      <c r="C30" s="19">
        <v>-1.4</v>
      </c>
      <c r="D30" s="19">
        <f>IF(OR(D28="",D29=""),"",(D28-D29)*100)</f>
        <v>-0.58227691537157256</v>
      </c>
      <c r="E30" s="19">
        <f>IF(OR(E28="",E29=""),"",(E28-E29)*100)</f>
        <v>0.62050336866791289</v>
      </c>
      <c r="F30" s="19">
        <f>IF(OR(F28="",F29=""),"",(F28-F29)*100)</f>
        <v>-0.76489114393408497</v>
      </c>
      <c r="G30" s="19">
        <f>IF(OR(G28="",G29=""),"",(G28-G29)*100)</f>
        <v>-2.398233983064074</v>
      </c>
      <c r="H30" s="19">
        <f>IF(OR(H28="",H29=""),"",(H28-H29)*100)</f>
        <v>-1.1242282321917096</v>
      </c>
      <c r="I30" s="88" t="s">
        <v>123</v>
      </c>
      <c r="J30" s="19">
        <v>0.1</v>
      </c>
      <c r="K30" s="19"/>
      <c r="L30" s="19"/>
    </row>
    <row r="31" spans="2:12">
      <c r="B31" s="8" t="s">
        <v>16</v>
      </c>
      <c r="C31" s="16" t="s">
        <v>142</v>
      </c>
      <c r="D31" s="9"/>
      <c r="E31" s="9"/>
      <c r="F31" s="9"/>
      <c r="G31" s="9"/>
      <c r="H31" s="16" t="s">
        <v>126</v>
      </c>
      <c r="I31" s="89"/>
      <c r="J31" s="16"/>
      <c r="K31" s="16"/>
      <c r="L31" s="16"/>
    </row>
    <row r="32" spans="2:12">
      <c r="B32" s="66" t="s">
        <v>1</v>
      </c>
      <c r="C32" s="67">
        <v>0.65</v>
      </c>
      <c r="D32" s="67">
        <v>10.082079999999999</v>
      </c>
      <c r="E32" s="67">
        <v>12.664009999999999</v>
      </c>
      <c r="F32" s="67">
        <v>10.30203</v>
      </c>
      <c r="G32" s="67">
        <v>5.2456699999999996</v>
      </c>
      <c r="H32" s="67">
        <v>6.5502799999999999</v>
      </c>
      <c r="I32" s="84"/>
      <c r="J32" s="67">
        <v>23.1</v>
      </c>
      <c r="K32" s="67"/>
      <c r="L32" s="67"/>
    </row>
    <row r="33" spans="2:12" hidden="1">
      <c r="B33" s="22" t="s">
        <v>2</v>
      </c>
      <c r="C33" s="7"/>
      <c r="D33" s="7">
        <v>10.4567</v>
      </c>
      <c r="E33" s="7">
        <v>13.567489999999999</v>
      </c>
      <c r="F33" s="7">
        <v>12.04133</v>
      </c>
      <c r="G33" s="7">
        <v>6.0798899999999998</v>
      </c>
      <c r="H33" s="7">
        <v>6.5254200000000004</v>
      </c>
      <c r="I33" s="85"/>
      <c r="J33" s="7"/>
      <c r="K33" s="7"/>
      <c r="L33" s="7"/>
    </row>
    <row r="34" spans="2:12" s="5" customFormat="1" ht="28.5">
      <c r="B34" s="4" t="s">
        <v>3</v>
      </c>
      <c r="C34" s="17">
        <v>-3.1E-2</v>
      </c>
      <c r="D34" s="17">
        <f>IF(OR(D32="",D33=""),"",D32/D33-1)</f>
        <v>-3.5825834154178726E-2</v>
      </c>
      <c r="E34" s="17">
        <f>IF(OR(E32="",E33=""),"",E32/E33-1)</f>
        <v>-6.659153609105295E-2</v>
      </c>
      <c r="F34" s="17">
        <f>IF(OR(F32="",F33=""),"",F32/F33-1)</f>
        <v>-0.14444417684757416</v>
      </c>
      <c r="G34" s="17">
        <f>IF(OR(G32="",G33=""),"",G32/G33-1)</f>
        <v>-0.1372097192547892</v>
      </c>
      <c r="H34" s="17">
        <f>IF(OR(H32="",H33=""),"",H32/H33-1)</f>
        <v>3.809716462695123E-3</v>
      </c>
      <c r="I34" s="86" t="s">
        <v>133</v>
      </c>
      <c r="J34" s="17">
        <v>0.183</v>
      </c>
      <c r="K34" s="17"/>
      <c r="L34" s="17"/>
    </row>
    <row r="35" spans="2:12">
      <c r="B35" s="66" t="s">
        <v>4</v>
      </c>
      <c r="C35" s="67">
        <v>-0.02</v>
      </c>
      <c r="D35" s="67">
        <v>2.68289</v>
      </c>
      <c r="E35" s="67">
        <v>3.6269999999999998</v>
      </c>
      <c r="F35" s="67">
        <v>4.8190299999999997</v>
      </c>
      <c r="G35" s="67">
        <v>2.0562999999999998</v>
      </c>
      <c r="H35" s="67">
        <v>1.61121</v>
      </c>
      <c r="I35" s="84"/>
      <c r="J35" s="67"/>
      <c r="K35" s="67"/>
      <c r="L35" s="67"/>
    </row>
    <row r="36" spans="2:12" hidden="1">
      <c r="B36" s="22" t="s">
        <v>5</v>
      </c>
      <c r="C36" s="7"/>
      <c r="D36" s="7">
        <v>3.0422400000000001</v>
      </c>
      <c r="E36" s="7">
        <v>3.605</v>
      </c>
      <c r="F36" s="7">
        <v>4.8081399999999999</v>
      </c>
      <c r="G36" s="7">
        <v>2.14012</v>
      </c>
      <c r="H36" s="7">
        <v>1.70444</v>
      </c>
      <c r="I36" s="85"/>
      <c r="J36" s="7"/>
      <c r="K36" s="7"/>
      <c r="L36" s="7"/>
    </row>
    <row r="37" spans="2:12" s="5" customFormat="1">
      <c r="B37" s="4" t="s">
        <v>3</v>
      </c>
      <c r="C37" s="17">
        <v>0.85199999999999998</v>
      </c>
      <c r="D37" s="17">
        <f>IF(OR(D35="",D36=""),"",D35/D36-1)</f>
        <v>-0.11812020090459663</v>
      </c>
      <c r="E37" s="17">
        <f>IF(OR(E35="",E36=""),"",E35/E36-1)</f>
        <v>6.1026352288486851E-3</v>
      </c>
      <c r="F37" s="17">
        <f>IF(OR(F35="",F36=""),"",F35/F36-1)</f>
        <v>2.2649090916653236E-3</v>
      </c>
      <c r="G37" s="17">
        <f>IF(OR(G35="",G36=""),"",G35/G36-1)</f>
        <v>-3.9166028073192249E-2</v>
      </c>
      <c r="H37" s="17">
        <f>IF(OR(H35="",H36=""),"",H35/H36-1)</f>
        <v>-5.4698317335899138E-2</v>
      </c>
      <c r="I37" s="86"/>
      <c r="J37" s="17"/>
      <c r="K37" s="17"/>
      <c r="L37" s="17"/>
    </row>
    <row r="38" spans="2:12">
      <c r="B38" s="66" t="s">
        <v>6</v>
      </c>
      <c r="C38" s="68">
        <v>-3.4000000000000002E-2</v>
      </c>
      <c r="D38" s="68">
        <f t="shared" ref="D38:H39" si="4">IF(OR(D35="",D32=""),"",D35/D32)</f>
        <v>0.26610481170552108</v>
      </c>
      <c r="E38" s="68">
        <f t="shared" si="4"/>
        <v>0.2864021743507783</v>
      </c>
      <c r="F38" s="68">
        <f>IF(OR(F35="",F32=""),"",F35/F32)</f>
        <v>0.46777479778257292</v>
      </c>
      <c r="G38" s="68">
        <f t="shared" si="4"/>
        <v>0.3919994967277774</v>
      </c>
      <c r="H38" s="68">
        <f t="shared" si="4"/>
        <v>0.24597574454832466</v>
      </c>
      <c r="I38" s="87"/>
      <c r="J38" s="68">
        <v>0.29899999999999999</v>
      </c>
      <c r="K38" s="68"/>
      <c r="L38" s="68"/>
    </row>
    <row r="39" spans="2:12" hidden="1">
      <c r="B39" s="22" t="s">
        <v>7</v>
      </c>
      <c r="C39" s="18"/>
      <c r="D39" s="18">
        <f t="shared" si="4"/>
        <v>0.29093691126263543</v>
      </c>
      <c r="E39" s="18">
        <f t="shared" si="4"/>
        <v>0.26570869040625789</v>
      </c>
      <c r="F39" s="18">
        <f>IF(OR(F36="",F33=""),"",F36/F33)</f>
        <v>0.39930306702000523</v>
      </c>
      <c r="G39" s="18">
        <f t="shared" si="4"/>
        <v>0.35199978946987531</v>
      </c>
      <c r="H39" s="18">
        <f t="shared" si="4"/>
        <v>0.26120004536106484</v>
      </c>
      <c r="I39" s="86"/>
      <c r="J39" s="18"/>
      <c r="K39" s="18"/>
      <c r="L39" s="18"/>
    </row>
    <row r="40" spans="2:12" s="5" customFormat="1" ht="28.5">
      <c r="B40" s="4" t="s">
        <v>8</v>
      </c>
      <c r="C40" s="19"/>
      <c r="D40" s="19">
        <f>IF(OR(D38="",D39=""),"",(D38-D39)*100)</f>
        <v>-2.4832099557114349</v>
      </c>
      <c r="E40" s="19">
        <f>IF(OR(E38="",E39=""),"",(E38-E39)*100)</f>
        <v>2.0693483944520419</v>
      </c>
      <c r="F40" s="19">
        <f>IF(OR(F38="",F39=""),"",(F38-F39)*100)</f>
        <v>6.8471730762567686</v>
      </c>
      <c r="G40" s="19">
        <f>IF(OR(G38="",G39=""),"",(G38-G39)*100)</f>
        <v>3.9999707257902086</v>
      </c>
      <c r="H40" s="19">
        <f>IF(OR(H38="",H39=""),"",(H38-H39)*100)</f>
        <v>-1.5224300812740177</v>
      </c>
      <c r="I40" s="88" t="s">
        <v>145</v>
      </c>
      <c r="J40" s="19">
        <v>-1.7</v>
      </c>
      <c r="K40" s="19"/>
      <c r="L40" s="19"/>
    </row>
    <row r="41" spans="2:12">
      <c r="B41" s="64" t="s">
        <v>17</v>
      </c>
      <c r="C41" s="20" t="s">
        <v>143</v>
      </c>
      <c r="D41" s="20" t="s">
        <v>42</v>
      </c>
      <c r="E41" s="20" t="s">
        <v>43</v>
      </c>
      <c r="F41" s="20" t="s">
        <v>44</v>
      </c>
      <c r="G41" s="20" t="s">
        <v>44</v>
      </c>
      <c r="H41" s="20" t="s">
        <v>44</v>
      </c>
      <c r="I41" s="80"/>
      <c r="J41" s="20"/>
      <c r="K41" s="20"/>
      <c r="L41" s="20"/>
    </row>
    <row r="42" spans="2:12">
      <c r="B42" s="66" t="s">
        <v>1</v>
      </c>
      <c r="C42" s="67">
        <v>0.43</v>
      </c>
      <c r="D42" s="67">
        <v>1.7698499999999999</v>
      </c>
      <c r="E42" s="67">
        <v>13.048859999999999</v>
      </c>
      <c r="F42" s="67">
        <v>7.1878099999999998</v>
      </c>
      <c r="G42" s="67">
        <v>7.3282400000000001</v>
      </c>
      <c r="H42" s="67">
        <v>2.4346199999999998</v>
      </c>
      <c r="I42" s="84"/>
      <c r="J42" s="67">
        <v>23.4</v>
      </c>
      <c r="K42" s="67"/>
      <c r="L42" s="67"/>
    </row>
    <row r="43" spans="2:12" hidden="1">
      <c r="B43" s="22" t="s">
        <v>2</v>
      </c>
      <c r="C43" s="7"/>
      <c r="D43" s="7">
        <v>2.19285</v>
      </c>
      <c r="E43" s="7">
        <v>12.991059999999999</v>
      </c>
      <c r="F43" s="7">
        <v>8.6308100000000003</v>
      </c>
      <c r="G43" s="7">
        <v>8.5781500000000008</v>
      </c>
      <c r="H43" s="7">
        <v>2.1412900000000001</v>
      </c>
      <c r="I43" s="85"/>
      <c r="J43" s="7"/>
      <c r="K43" s="7"/>
      <c r="L43" s="7"/>
    </row>
    <row r="44" spans="2:12" s="5" customFormat="1">
      <c r="B44" s="4" t="s">
        <v>3</v>
      </c>
      <c r="C44" s="17">
        <v>0.27900000000000003</v>
      </c>
      <c r="D44" s="17">
        <f>IF(OR(D42="",D43=""),"",D42/D43-1)</f>
        <v>-0.19289965113892882</v>
      </c>
      <c r="E44" s="17">
        <f>IF(OR(E42="",E43=""),"",E42/E43-1)</f>
        <v>4.4492135360778562E-3</v>
      </c>
      <c r="F44" s="17">
        <f>IF(OR(F42="",F43=""),"",F42/F43-1)</f>
        <v>-0.16719172360415768</v>
      </c>
      <c r="G44" s="17">
        <f>IF(OR(G42="",G43=""),"",G42/G43-1)</f>
        <v>-0.14570857352692601</v>
      </c>
      <c r="H44" s="17">
        <f>IF(OR(H42="",H43=""),"",H42/H43-1)</f>
        <v>0.13698751687067134</v>
      </c>
      <c r="I44" s="86" t="s">
        <v>146</v>
      </c>
      <c r="J44" s="17">
        <v>-0.20200000000000001</v>
      </c>
      <c r="K44" s="17"/>
      <c r="L44" s="17"/>
    </row>
    <row r="45" spans="2:12">
      <c r="B45" s="66" t="s">
        <v>4</v>
      </c>
      <c r="C45" s="67">
        <v>-5.6579999999999998E-2</v>
      </c>
      <c r="D45" s="67">
        <v>6.3210000000000002E-2</v>
      </c>
      <c r="E45" s="67">
        <v>4.41</v>
      </c>
      <c r="F45" s="67">
        <v>0.91837000000000002</v>
      </c>
      <c r="G45" s="67">
        <v>0.97465999999999997</v>
      </c>
      <c r="H45" s="67">
        <v>0.77598999999999996</v>
      </c>
      <c r="I45" s="84"/>
      <c r="J45" s="67"/>
      <c r="K45" s="67"/>
      <c r="L45" s="67"/>
    </row>
    <row r="46" spans="2:12" hidden="1">
      <c r="B46" s="22" t="s">
        <v>5</v>
      </c>
      <c r="C46" s="7"/>
      <c r="D46" s="7">
        <v>0.21332999999999999</v>
      </c>
      <c r="E46" s="7">
        <v>4.298</v>
      </c>
      <c r="F46" s="7">
        <v>0.96789999999999998</v>
      </c>
      <c r="G46" s="7">
        <v>1.14907</v>
      </c>
      <c r="H46" s="7">
        <v>0.74219000000000002</v>
      </c>
      <c r="I46" s="85"/>
      <c r="J46" s="7"/>
      <c r="K46" s="7"/>
      <c r="L46" s="7"/>
    </row>
    <row r="47" spans="2:12" s="5" customFormat="1">
      <c r="B47" s="4" t="s">
        <v>3</v>
      </c>
      <c r="C47" s="17">
        <v>0.52800000000000002</v>
      </c>
      <c r="D47" s="17">
        <f>IF(OR(D45="",D46=""),"",D45/D46-1)</f>
        <v>-0.70369849528898887</v>
      </c>
      <c r="E47" s="17">
        <f>IF(OR(E45="",E46=""),"",E45/E46-1)</f>
        <v>2.6058631921824116E-2</v>
      </c>
      <c r="F47" s="17">
        <f>IF(OR(F45="",F46=""),"",F45/F46-1)</f>
        <v>-5.1172641801839003E-2</v>
      </c>
      <c r="G47" s="17">
        <f>IF(OR(G45="",G46=""),"",G45/G46-1)</f>
        <v>-0.15178361631580328</v>
      </c>
      <c r="H47" s="17">
        <f>IF(OR(H45="",H46=""),"",H45/H46-1)</f>
        <v>4.5540899230655185E-2</v>
      </c>
      <c r="I47" s="86"/>
      <c r="J47" s="17"/>
      <c r="K47" s="17"/>
      <c r="L47" s="17"/>
    </row>
    <row r="48" spans="2:12">
      <c r="B48" s="66" t="s">
        <v>6</v>
      </c>
      <c r="C48" s="68">
        <v>-0.13</v>
      </c>
      <c r="D48" s="68">
        <f t="shared" ref="D48:H49" si="5">IF(OR(D45="",D42=""),"",D45/D42)</f>
        <v>3.5714891092465464E-2</v>
      </c>
      <c r="E48" s="68">
        <f t="shared" si="5"/>
        <v>0.33796055747398623</v>
      </c>
      <c r="F48" s="68">
        <f>IF(OR(F45="",F42=""),"",F45/F42)</f>
        <v>0.12776770671456258</v>
      </c>
      <c r="G48" s="68">
        <f t="shared" si="5"/>
        <v>0.13300055675032477</v>
      </c>
      <c r="H48" s="68">
        <f t="shared" si="5"/>
        <v>0.31873146528000262</v>
      </c>
      <c r="I48" s="87"/>
      <c r="J48" s="68">
        <v>4.2000000000000003E-2</v>
      </c>
      <c r="K48" s="68"/>
      <c r="L48" s="68"/>
    </row>
    <row r="49" spans="2:12" hidden="1">
      <c r="B49" s="22" t="s">
        <v>7</v>
      </c>
      <c r="C49" s="18"/>
      <c r="D49" s="18">
        <f t="shared" si="5"/>
        <v>9.7284355975100892E-2</v>
      </c>
      <c r="E49" s="18">
        <f t="shared" si="5"/>
        <v>0.33084290273464984</v>
      </c>
      <c r="F49" s="18">
        <f>IF(OR(F46="",F43=""),"",F46/F43)</f>
        <v>0.11214474655333624</v>
      </c>
      <c r="G49" s="18">
        <f t="shared" si="5"/>
        <v>0.1339531250910744</v>
      </c>
      <c r="H49" s="18">
        <f t="shared" si="5"/>
        <v>0.3466088199169659</v>
      </c>
      <c r="I49" s="86"/>
      <c r="J49" s="18"/>
      <c r="K49" s="18"/>
      <c r="L49" s="18"/>
    </row>
    <row r="50" spans="2:12" s="5" customFormat="1">
      <c r="B50" s="4" t="s">
        <v>8</v>
      </c>
      <c r="C50" s="19"/>
      <c r="D50" s="19">
        <f>IF(OR(D48="",D49=""),"",(D48-D49)*100)</f>
        <v>-6.156946488263543</v>
      </c>
      <c r="E50" s="19">
        <f>IF(OR(E48="",E49=""),"",(E48-E49)*100)</f>
        <v>0.71176547393363987</v>
      </c>
      <c r="F50" s="19">
        <f>IF(OR(F48="",F49=""),"",(F48-F49)*100)</f>
        <v>1.5622960161226342</v>
      </c>
      <c r="G50" s="19">
        <f>IF(OR(G48="",G49=""),"",(G48-G49)*100)</f>
        <v>-9.525683407496377E-2</v>
      </c>
      <c r="H50" s="19">
        <f>IF(OR(H48="",H49=""),"",(H48-H49)*100)</f>
        <v>-2.7877354636963281</v>
      </c>
      <c r="I50" s="88" t="s">
        <v>128</v>
      </c>
      <c r="J50" s="19">
        <v>3.8</v>
      </c>
      <c r="K50" s="19"/>
      <c r="L50" s="19"/>
    </row>
    <row r="51" spans="2:12">
      <c r="B51" s="64" t="s">
        <v>18</v>
      </c>
      <c r="C51" s="20" t="s">
        <v>144</v>
      </c>
      <c r="D51" s="20" t="s">
        <v>45</v>
      </c>
      <c r="E51" s="20"/>
      <c r="F51" s="20"/>
      <c r="G51" s="20" t="s">
        <v>46</v>
      </c>
      <c r="H51" s="20"/>
      <c r="I51" s="80"/>
      <c r="J51" s="20"/>
      <c r="K51" s="20"/>
      <c r="L51" s="20"/>
    </row>
    <row r="52" spans="2:12">
      <c r="B52" s="66" t="s">
        <v>1</v>
      </c>
      <c r="C52" s="67">
        <v>1.7190000000000001</v>
      </c>
      <c r="D52" s="67">
        <v>9.5592699999999997</v>
      </c>
      <c r="E52" s="67"/>
      <c r="F52" s="67"/>
      <c r="G52" s="67">
        <v>0.25391999999999998</v>
      </c>
      <c r="H52" s="67"/>
      <c r="I52" s="84"/>
      <c r="J52" s="67"/>
      <c r="K52" s="67"/>
      <c r="L52" s="67"/>
    </row>
    <row r="53" spans="2:12" hidden="1">
      <c r="B53" s="22" t="s">
        <v>2</v>
      </c>
      <c r="C53" s="7"/>
      <c r="D53" s="7">
        <v>10.638030000000001</v>
      </c>
      <c r="E53" s="7"/>
      <c r="F53" s="7"/>
      <c r="G53" s="7">
        <v>0.27290999999999999</v>
      </c>
      <c r="H53" s="7"/>
      <c r="I53" s="85"/>
      <c r="J53" s="7"/>
      <c r="K53" s="7"/>
      <c r="L53" s="7"/>
    </row>
    <row r="54" spans="2:12" s="5" customFormat="1">
      <c r="B54" s="4" t="s">
        <v>3</v>
      </c>
      <c r="C54" s="17">
        <v>0.182</v>
      </c>
      <c r="D54" s="17">
        <f>IF(OR(D52="",D53=""),"",D52/D53-1)</f>
        <v>-0.10140599340291401</v>
      </c>
      <c r="E54" s="17" t="str">
        <f>IF(OR(E52="",E53=""),"",E52/E53-1)</f>
        <v/>
      </c>
      <c r="F54" s="17" t="str">
        <f>IF(OR(F52="",F53=""),"",F52/F53-1)</f>
        <v/>
      </c>
      <c r="G54" s="17">
        <f>IF(OR(G52="",G53=""),"",G52/G53-1)</f>
        <v>-6.9583379135978896E-2</v>
      </c>
      <c r="H54" s="17" t="str">
        <f>IF(OR(H52="",H53=""),"",H52/H53-1)</f>
        <v/>
      </c>
      <c r="I54" s="86"/>
      <c r="J54" s="17"/>
      <c r="K54" s="17"/>
      <c r="L54" s="17"/>
    </row>
    <row r="55" spans="2:12">
      <c r="B55" s="66" t="s">
        <v>4</v>
      </c>
      <c r="C55" s="67">
        <v>0.24204999999999999</v>
      </c>
      <c r="D55" s="67">
        <v>2.93831</v>
      </c>
      <c r="E55" s="67"/>
      <c r="F55" s="67"/>
      <c r="G55" s="67">
        <v>7.0059999999999997E-2</v>
      </c>
      <c r="H55" s="67"/>
      <c r="I55" s="84"/>
      <c r="J55" s="67"/>
      <c r="K55" s="67"/>
      <c r="L55" s="67"/>
    </row>
    <row r="56" spans="2:12" hidden="1">
      <c r="B56" s="22" t="s">
        <v>5</v>
      </c>
      <c r="C56" s="7"/>
      <c r="D56" s="7">
        <v>3.5132400000000001</v>
      </c>
      <c r="E56" s="7"/>
      <c r="F56" s="7"/>
      <c r="G56" s="7">
        <v>7.0279999999999995E-2</v>
      </c>
      <c r="H56" s="7"/>
      <c r="I56" s="85"/>
      <c r="J56" s="7"/>
      <c r="K56" s="7"/>
      <c r="L56" s="7"/>
    </row>
    <row r="57" spans="2:12" s="5" customFormat="1">
      <c r="B57" s="4" t="s">
        <v>3</v>
      </c>
      <c r="C57" s="17">
        <v>7.8E-2</v>
      </c>
      <c r="D57" s="17">
        <f>IF(OR(D55="",D56=""),"",D55/D56-1)</f>
        <v>-0.16364666234017611</v>
      </c>
      <c r="E57" s="17" t="str">
        <f>IF(OR(E55="",E56=""),"",E55/E56-1)</f>
        <v/>
      </c>
      <c r="F57" s="17" t="str">
        <f>IF(OR(F55="",F56=""),"",F55/F56-1)</f>
        <v/>
      </c>
      <c r="G57" s="17">
        <f>IF(OR(G55="",G56=""),"",G55/G56-1)</f>
        <v>-3.1303357996584902E-3</v>
      </c>
      <c r="H57" s="17" t="str">
        <f>IF(OR(H55="",H56=""),"",H55/H56-1)</f>
        <v/>
      </c>
      <c r="I57" s="86"/>
      <c r="J57" s="17"/>
      <c r="K57" s="17"/>
      <c r="L57" s="17"/>
    </row>
    <row r="58" spans="2:12">
      <c r="B58" s="66" t="s">
        <v>6</v>
      </c>
      <c r="C58" s="68">
        <v>0.14099999999999999</v>
      </c>
      <c r="D58" s="68">
        <f t="shared" ref="D58:H59" si="6">IF(OR(D55="",D52=""),"",D55/D52)</f>
        <v>0.30737807384873533</v>
      </c>
      <c r="E58" s="68" t="str">
        <f t="shared" si="6"/>
        <v/>
      </c>
      <c r="F58" s="68" t="str">
        <f>IF(OR(F55="",F52=""),"",F55/F52)</f>
        <v/>
      </c>
      <c r="G58" s="68">
        <f t="shared" si="6"/>
        <v>0.27591367359798363</v>
      </c>
      <c r="H58" s="68" t="str">
        <f t="shared" si="6"/>
        <v/>
      </c>
      <c r="I58" s="87"/>
      <c r="J58" s="68"/>
      <c r="K58" s="68"/>
      <c r="L58" s="68"/>
    </row>
    <row r="59" spans="2:12" hidden="1">
      <c r="B59" s="22" t="s">
        <v>7</v>
      </c>
      <c r="C59" s="18"/>
      <c r="D59" s="18">
        <f t="shared" si="6"/>
        <v>0.3302528757674118</v>
      </c>
      <c r="E59" s="18" t="str">
        <f t="shared" si="6"/>
        <v/>
      </c>
      <c r="F59" s="18" t="str">
        <f>IF(OR(F56="",F53=""),"",F56/F53)</f>
        <v/>
      </c>
      <c r="G59" s="18">
        <f t="shared" si="6"/>
        <v>0.25752079440108461</v>
      </c>
      <c r="H59" s="18" t="str">
        <f t="shared" si="6"/>
        <v/>
      </c>
      <c r="I59" s="86"/>
      <c r="J59" s="18"/>
      <c r="K59" s="18"/>
      <c r="L59" s="18"/>
    </row>
    <row r="60" spans="2:12" s="5" customFormat="1">
      <c r="B60" s="4" t="s">
        <v>8</v>
      </c>
      <c r="C60" s="19"/>
      <c r="D60" s="19">
        <f>IF(OR(D58="",D59=""),"",(D58-D59)*100)</f>
        <v>-2.2874801918676466</v>
      </c>
      <c r="E60" s="19" t="str">
        <f>IF(OR(E58="",E59=""),"",(E58-E59)*100)</f>
        <v/>
      </c>
      <c r="F60" s="19" t="str">
        <f>IF(OR(F58="",F59=""),"",(F58-F59)*100)</f>
        <v/>
      </c>
      <c r="G60" s="19">
        <f>IF(OR(G58="",G59=""),"",(G58-G59)*100)</f>
        <v>1.8392879196899026</v>
      </c>
      <c r="H60" s="19" t="str">
        <f>IF(OR(H58="",H59=""),"",(H58-H59)*100)</f>
        <v/>
      </c>
      <c r="I60" s="88" t="s">
        <v>116</v>
      </c>
      <c r="J60" s="19"/>
      <c r="K60" s="19"/>
      <c r="L60" s="19"/>
    </row>
    <row r="61" spans="2:12">
      <c r="B61" s="2" t="s">
        <v>19</v>
      </c>
      <c r="C61" s="3"/>
      <c r="D61" s="3"/>
      <c r="E61" s="3"/>
      <c r="F61" s="3"/>
      <c r="G61" s="3"/>
      <c r="H61" s="3"/>
      <c r="I61" s="83"/>
      <c r="J61" s="3"/>
      <c r="K61" s="3"/>
      <c r="L61" s="3"/>
    </row>
    <row r="62" spans="2:12">
      <c r="B62" s="69" t="s">
        <v>20</v>
      </c>
      <c r="C62" s="67">
        <v>39.58</v>
      </c>
      <c r="D62" s="67">
        <v>88.460229999999996</v>
      </c>
      <c r="E62" s="67">
        <v>74.205650000000006</v>
      </c>
      <c r="F62" s="67">
        <v>46.642800000000001</v>
      </c>
      <c r="G62" s="67">
        <v>44.03275</v>
      </c>
      <c r="H62" s="67">
        <v>8.7875999999999994</v>
      </c>
      <c r="I62" s="84"/>
      <c r="J62" s="67"/>
      <c r="K62" s="67"/>
      <c r="L62" s="67"/>
    </row>
    <row r="63" spans="2:12" hidden="1">
      <c r="B63" s="10" t="s">
        <v>21</v>
      </c>
      <c r="C63" s="11"/>
      <c r="D63" s="11">
        <v>76.801659999999998</v>
      </c>
      <c r="E63" s="11">
        <v>58.240740000000002</v>
      </c>
      <c r="F63" s="11">
        <v>36.229300000000002</v>
      </c>
      <c r="G63" s="11">
        <v>32.373449999999998</v>
      </c>
      <c r="H63" s="11">
        <v>5.2123900000000001</v>
      </c>
      <c r="I63" s="90"/>
      <c r="J63" s="11"/>
      <c r="K63" s="11"/>
      <c r="L63" s="11"/>
    </row>
    <row r="64" spans="2:12">
      <c r="B64" s="22" t="s">
        <v>22</v>
      </c>
      <c r="C64" s="7"/>
      <c r="D64" s="7">
        <v>17.741060000000001</v>
      </c>
      <c r="E64" s="7"/>
      <c r="F64" s="7">
        <v>7.3803200000000002</v>
      </c>
      <c r="G64" s="7">
        <v>4.3118600000000002</v>
      </c>
      <c r="H64" s="7">
        <v>1.0224</v>
      </c>
      <c r="I64" s="85"/>
      <c r="J64" s="7"/>
      <c r="K64" s="7"/>
      <c r="L64" s="7"/>
    </row>
    <row r="65" spans="2:12">
      <c r="B65" s="22" t="s">
        <v>23</v>
      </c>
      <c r="C65" s="7"/>
      <c r="D65" s="7">
        <v>70.719170000000005</v>
      </c>
      <c r="E65" s="7"/>
      <c r="F65" s="7">
        <v>39.262479999999996</v>
      </c>
      <c r="G65" s="7">
        <v>39.720889999999997</v>
      </c>
      <c r="H65" s="7">
        <v>7.7652000000000001</v>
      </c>
      <c r="I65" s="85" t="s">
        <v>122</v>
      </c>
      <c r="J65" s="7"/>
      <c r="K65" s="7"/>
      <c r="L65" s="7"/>
    </row>
    <row r="66" spans="2:12" ht="28.5">
      <c r="B66" s="70" t="s">
        <v>24</v>
      </c>
      <c r="C66" s="71">
        <f>IF(OR(C62="",C4=""),"",C62/C4/2)</f>
        <v>0.28372759856630825</v>
      </c>
      <c r="D66" s="71">
        <f>IF(OR(D62="",D4=""),"",D62/D4/2)</f>
        <v>0.23142140404355921</v>
      </c>
      <c r="E66" s="71">
        <f>IF(OR(E62="",E4=""),"",E62/E4/2)</f>
        <v>0.37588254757236861</v>
      </c>
      <c r="F66" s="71">
        <f>IF(OR(F62="",F4=""),"",F62/F4/2)</f>
        <v>0.26414013446553397</v>
      </c>
      <c r="G66" s="71">
        <f>IF(OR(G62="",G4=""),"",G62/G4/2)</f>
        <v>0.29414867080894047</v>
      </c>
      <c r="H66" s="71">
        <f>IF(OR(H62="",H4=""),"",H62/H4/2)</f>
        <v>0.19116851745416683</v>
      </c>
      <c r="I66" s="91" t="s">
        <v>129</v>
      </c>
      <c r="J66" s="71"/>
      <c r="K66" s="71"/>
      <c r="L66" s="71"/>
    </row>
    <row r="67" spans="2:12" s="15" customFormat="1">
      <c r="B67" s="22" t="s">
        <v>25</v>
      </c>
      <c r="C67" s="18"/>
      <c r="D67" s="18">
        <f>IF(OR(D64="",D4=""),"",D64/D4/2)</f>
        <v>4.6412506664531922E-2</v>
      </c>
      <c r="E67" s="18" t="str">
        <f>IF(OR(E64="",E4=""),"",E64/E4/2)</f>
        <v/>
      </c>
      <c r="F67" s="18">
        <f>IF(OR(F64="",F4=""),"",F64/F4/2)</f>
        <v>4.1795061985958601E-2</v>
      </c>
      <c r="G67" s="18">
        <f>IF(OR(G64="",G4=""),"",G64/G4/2)</f>
        <v>2.8804194326137664E-2</v>
      </c>
      <c r="H67" s="18">
        <f>IF(OR(H64="",H4=""),"",H64/H4/2)</f>
        <v>2.2241646438747799E-2</v>
      </c>
      <c r="I67" s="86"/>
      <c r="J67" s="18"/>
      <c r="K67" s="18"/>
      <c r="L67" s="18"/>
    </row>
    <row r="68" spans="2:12" s="15" customFormat="1">
      <c r="B68" s="22" t="s">
        <v>26</v>
      </c>
      <c r="C68" s="18"/>
      <c r="D68" s="18">
        <f>IF(OR(D65="",D4=""),"",D65/D4/2)</f>
        <v>0.18500889737902729</v>
      </c>
      <c r="E68" s="18" t="str">
        <f>IF(OR(E65="",E4=""),"",E65/E4/2)</f>
        <v/>
      </c>
      <c r="F68" s="18">
        <f>IF(OR(F65="",F4=""),"",F65/F4/2)</f>
        <v>0.22234507247957538</v>
      </c>
      <c r="G68" s="18">
        <f>IF(OR(G65="",G4=""),"",G65/G4/2)</f>
        <v>0.26534447648280279</v>
      </c>
      <c r="H68" s="18">
        <f>IF(OR(H65="",H4=""),"",H65/H4/2)</f>
        <v>0.16892687101541903</v>
      </c>
      <c r="I68" s="86"/>
      <c r="J68" s="18"/>
      <c r="K68" s="18"/>
      <c r="L68" s="18"/>
    </row>
    <row r="69" spans="2:12">
      <c r="B69" s="2" t="s">
        <v>27</v>
      </c>
      <c r="C69" s="3"/>
      <c r="D69" s="3"/>
      <c r="E69" s="3"/>
      <c r="F69" s="3"/>
      <c r="G69" s="3"/>
      <c r="H69" s="3"/>
      <c r="I69" s="83"/>
      <c r="J69" s="3"/>
      <c r="K69" s="3"/>
      <c r="L69" s="3"/>
    </row>
    <row r="70" spans="2:12">
      <c r="B70" s="70" t="s">
        <v>28</v>
      </c>
      <c r="C70" s="72">
        <v>19.309999999999999</v>
      </c>
      <c r="D70" s="72">
        <v>69.222030000000004</v>
      </c>
      <c r="E70" s="72">
        <v>23.906220000000001</v>
      </c>
      <c r="F70" s="72">
        <v>27.869309999999999</v>
      </c>
      <c r="G70" s="72">
        <v>28.4404</v>
      </c>
      <c r="H70" s="72">
        <v>5.1923899999999996</v>
      </c>
      <c r="I70" s="92"/>
      <c r="J70" s="72"/>
      <c r="K70" s="72"/>
      <c r="L70" s="72"/>
    </row>
    <row r="71" spans="2:12">
      <c r="B71" s="22" t="s">
        <v>29</v>
      </c>
      <c r="C71" s="7"/>
      <c r="D71" s="7">
        <v>4.55124</v>
      </c>
      <c r="E71" s="7">
        <v>0.4</v>
      </c>
      <c r="F71" s="7">
        <v>0.71511999999999998</v>
      </c>
      <c r="G71" s="7"/>
      <c r="H71" s="7">
        <v>1.453E-2</v>
      </c>
      <c r="I71" s="85"/>
      <c r="J71" s="7"/>
      <c r="K71" s="7"/>
      <c r="L71" s="7"/>
    </row>
    <row r="72" spans="2:12">
      <c r="B72" s="22" t="s">
        <v>30</v>
      </c>
      <c r="C72" s="7"/>
      <c r="D72" s="7">
        <v>64.670789999999997</v>
      </c>
      <c r="E72" s="7">
        <v>23.5</v>
      </c>
      <c r="F72" s="7">
        <v>27.15419</v>
      </c>
      <c r="G72" s="7"/>
      <c r="H72" s="7">
        <v>5.1778599999999999</v>
      </c>
      <c r="I72" s="85"/>
      <c r="J72" s="7"/>
      <c r="K72" s="7"/>
      <c r="L72" s="7"/>
    </row>
    <row r="73" spans="2:12" ht="28.5">
      <c r="B73" s="70" t="s">
        <v>31</v>
      </c>
      <c r="C73" s="71">
        <f>IF(OR(C70="",C4="",C7=""),"",C70/(C4-C7)/2)</f>
        <v>0.17453000723065798</v>
      </c>
      <c r="D73" s="71">
        <f>IF(OR(D70="",D4="",D7=""),"",D70/(D4-D7)/2)</f>
        <v>0.20733587444620449</v>
      </c>
      <c r="E73" s="71">
        <f>IF(OR(E70="",E4="",E7=""),"",E70/(E4-E7)/2)</f>
        <v>0.15127192919733978</v>
      </c>
      <c r="F73" s="71">
        <f>IF(OR(F70="",F4="",F7=""),"",F70/(F4-F7)/2)</f>
        <v>0.19529567530249506</v>
      </c>
      <c r="G73" s="71">
        <f>IF(OR(G70="",G4="",G7=""),"",G70/(G4-G7)/2)</f>
        <v>0.22318859186459203</v>
      </c>
      <c r="H73" s="71">
        <f>IF(OR(H70="",H4="",H7=""),"",H70/(H4-H7)/2)</f>
        <v>0.14256011263379792</v>
      </c>
      <c r="I73" s="91" t="s">
        <v>130</v>
      </c>
      <c r="J73" s="71"/>
      <c r="K73" s="71"/>
      <c r="L73" s="71"/>
    </row>
    <row r="74" spans="2:12" s="15" customFormat="1">
      <c r="B74" s="22" t="s">
        <v>32</v>
      </c>
      <c r="C74" s="18"/>
      <c r="D74" s="18">
        <f>IF(OR(D71="",D4="",D7=""),"",D71/(D4-D7)/2)</f>
        <v>1.363200884479325E-2</v>
      </c>
      <c r="E74" s="18">
        <f>IF(OR(E71="",E4="",E7=""),"",E71/(E4-E7)/2)</f>
        <v>2.53108905042018E-3</v>
      </c>
      <c r="F74" s="18">
        <f>IF(OR(F71="",F4="",F7=""),"",F71/(F4-F7)/2)</f>
        <v>5.0112415170063505E-3</v>
      </c>
      <c r="G74" s="18" t="str">
        <f>IF(OR(G71="",G4="",G7=""),"",G71/(G4-G7)/2)</f>
        <v/>
      </c>
      <c r="H74" s="18">
        <f>IF(OR(H71="",H4="",H7=""),"",H71/(H4-H7)/2)</f>
        <v>3.9892967141703223E-4</v>
      </c>
      <c r="I74" s="86"/>
      <c r="J74" s="18"/>
      <c r="K74" s="18"/>
      <c r="L74" s="18"/>
    </row>
    <row r="75" spans="2:12" s="15" customFormat="1">
      <c r="B75" s="22" t="s">
        <v>33</v>
      </c>
      <c r="C75" s="18"/>
      <c r="D75" s="18">
        <f>IF(OR(D72="",D4="",D7=""),"",D72/(D4-D7)/2)</f>
        <v>0.19370386560141123</v>
      </c>
      <c r="E75" s="18">
        <f>IF(OR(E72="",E4="",E7=""),"",E72/(E4-E7)/2)</f>
        <v>0.14870148171218556</v>
      </c>
      <c r="F75" s="18">
        <f>IF(OR(F72="",F4="",F7=""),"",F72/(F4-F7)/2)</f>
        <v>0.1902844337854887</v>
      </c>
      <c r="G75" s="18" t="str">
        <f>IF(OR(G72="",G4="",G7=""),"",G72/(G4-G7)/2)</f>
        <v/>
      </c>
      <c r="H75" s="18">
        <f>IF(OR(H72="",H4="",H7=""),"",H72/(H4-H7)/2)</f>
        <v>0.14216118296238089</v>
      </c>
      <c r="I75" s="86"/>
      <c r="J75" s="18"/>
      <c r="K75" s="18"/>
      <c r="L75" s="18"/>
    </row>
    <row r="76" spans="2:12" s="15" customFormat="1">
      <c r="I76" s="93"/>
    </row>
    <row r="77" spans="2:12" ht="28.5">
      <c r="B77" s="65" t="s">
        <v>34</v>
      </c>
      <c r="C77" s="21" t="s">
        <v>125</v>
      </c>
      <c r="D77" s="21" t="s">
        <v>115</v>
      </c>
      <c r="E77" s="21" t="s">
        <v>47</v>
      </c>
      <c r="F77" s="21" t="s">
        <v>50</v>
      </c>
      <c r="G77" s="21" t="s">
        <v>48</v>
      </c>
      <c r="H77" s="21" t="s">
        <v>49</v>
      </c>
      <c r="I77" s="81"/>
      <c r="J77" s="21"/>
      <c r="K77" s="21"/>
      <c r="L77" s="21"/>
    </row>
    <row r="78" spans="2:12">
      <c r="B78" s="73" t="s">
        <v>35</v>
      </c>
      <c r="C78" s="74">
        <v>236.78</v>
      </c>
      <c r="D78" s="74">
        <v>8988</v>
      </c>
      <c r="E78" s="75">
        <v>9.0589999999999993</v>
      </c>
      <c r="F78" s="75">
        <v>10.184480000000001</v>
      </c>
      <c r="G78" s="75">
        <v>4.9539999999999997</v>
      </c>
      <c r="H78" s="75">
        <v>1.0968500000000001</v>
      </c>
      <c r="I78" s="94"/>
      <c r="J78" s="75"/>
      <c r="K78" s="75"/>
      <c r="L78" s="75"/>
    </row>
    <row r="79" spans="2:12" hidden="1">
      <c r="B79" s="73" t="s">
        <v>36</v>
      </c>
      <c r="C79" s="76"/>
      <c r="D79" s="76">
        <f>D82+D85</f>
        <v>8462</v>
      </c>
      <c r="E79" s="75">
        <v>8.8360000000000003</v>
      </c>
      <c r="F79" s="75">
        <v>9.9606700000000004</v>
      </c>
      <c r="G79" s="75">
        <v>4.7759999999999998</v>
      </c>
      <c r="H79" s="75">
        <v>0.96355000000000002</v>
      </c>
      <c r="I79" s="94"/>
      <c r="J79" s="75"/>
      <c r="K79" s="75"/>
      <c r="L79" s="75"/>
    </row>
    <row r="80" spans="2:12" s="5" customFormat="1" ht="28.5">
      <c r="B80" s="4" t="s">
        <v>37</v>
      </c>
      <c r="C80" s="17">
        <v>-0.69499999999999995</v>
      </c>
      <c r="D80" s="17">
        <f>IF(OR(D78="",D79=""),"",D78/D79-1)</f>
        <v>6.2160245804774306E-2</v>
      </c>
      <c r="E80" s="17">
        <f>IF(OR(E78="",E79=""),"",E78/E79-1)</f>
        <v>2.5237664101403157E-2</v>
      </c>
      <c r="F80" s="17">
        <f>IF(OR(F78="",F79=""),"",F78/F79-1)</f>
        <v>2.2469372040234248E-2</v>
      </c>
      <c r="G80" s="17">
        <f>IF(OR(G78="",G79=""),"",G78/G79-1)</f>
        <v>3.7269681742043481E-2</v>
      </c>
      <c r="H80" s="17">
        <f>IF(OR(H78="",H79=""),"",H78/H79-1)</f>
        <v>0.13834258730735316</v>
      </c>
      <c r="I80" s="86" t="s">
        <v>147</v>
      </c>
      <c r="J80" s="17"/>
      <c r="K80" s="17"/>
      <c r="L80" s="17"/>
    </row>
    <row r="81" spans="2:12">
      <c r="B81" s="77" t="s">
        <v>38</v>
      </c>
      <c r="C81" s="74"/>
      <c r="D81" s="74">
        <v>5445</v>
      </c>
      <c r="E81" s="75"/>
      <c r="F81" s="75"/>
      <c r="G81" s="75">
        <v>3.2970000000000002</v>
      </c>
      <c r="H81" s="75"/>
      <c r="I81" s="94" t="s">
        <v>132</v>
      </c>
      <c r="J81" s="75"/>
      <c r="K81" s="75"/>
      <c r="L81" s="75"/>
    </row>
    <row r="82" spans="2:12" hidden="1">
      <c r="B82" s="77" t="s">
        <v>39</v>
      </c>
      <c r="C82" s="76"/>
      <c r="D82" s="76">
        <v>5178</v>
      </c>
      <c r="E82" s="75"/>
      <c r="F82" s="75"/>
      <c r="G82" s="75">
        <v>3.278</v>
      </c>
      <c r="H82" s="75"/>
      <c r="I82" s="94"/>
      <c r="J82" s="75"/>
      <c r="K82" s="75"/>
      <c r="L82" s="75"/>
    </row>
    <row r="83" spans="2:12" s="5" customFormat="1">
      <c r="B83" s="4" t="s">
        <v>37</v>
      </c>
      <c r="C83" s="78"/>
      <c r="D83" s="17">
        <f>IF(OR(D81="",D82=""),"",D81/D82-1)</f>
        <v>5.1564310544611747E-2</v>
      </c>
      <c r="E83" s="79" t="str">
        <f>IF(OR(E81="",E82=""),"",E81-E82)</f>
        <v/>
      </c>
      <c r="F83" s="79" t="str">
        <f>IF(OR(F81="",F82=""),"",F81-F82)</f>
        <v/>
      </c>
      <c r="G83" s="17">
        <f>IF(OR(G81="",G82=""),"",G81/G82-1)</f>
        <v>5.7962172056131855E-3</v>
      </c>
      <c r="H83" s="79" t="str">
        <f>IF(OR(H81="",H82=""),"",H81-H82)</f>
        <v/>
      </c>
      <c r="I83" s="95"/>
      <c r="J83" s="79"/>
      <c r="K83" s="79"/>
      <c r="L83" s="79"/>
    </row>
    <row r="84" spans="2:12">
      <c r="B84" s="77" t="s">
        <v>40</v>
      </c>
      <c r="C84" s="74"/>
      <c r="D84" s="74">
        <v>3543</v>
      </c>
      <c r="E84" s="75"/>
      <c r="F84" s="75"/>
      <c r="G84" s="75">
        <v>1.657</v>
      </c>
      <c r="H84" s="75"/>
      <c r="I84" s="94" t="s">
        <v>131</v>
      </c>
      <c r="J84" s="75"/>
      <c r="K84" s="75"/>
      <c r="L84" s="75"/>
    </row>
    <row r="85" spans="2:12" hidden="1">
      <c r="B85" s="77" t="s">
        <v>41</v>
      </c>
      <c r="C85" s="76"/>
      <c r="D85" s="76">
        <v>3284</v>
      </c>
      <c r="E85" s="75"/>
      <c r="F85" s="75"/>
      <c r="G85" s="75">
        <v>1.498</v>
      </c>
      <c r="H85" s="75"/>
      <c r="I85" s="94"/>
      <c r="J85" s="75"/>
      <c r="K85" s="75"/>
      <c r="L85" s="75"/>
    </row>
    <row r="86" spans="2:12" s="5" customFormat="1">
      <c r="B86" s="4" t="s">
        <v>37</v>
      </c>
      <c r="C86" s="17"/>
      <c r="D86" s="17">
        <f>IF(OR(D84="",D85=""),"",D84/D85-1)</f>
        <v>7.8867235079171705E-2</v>
      </c>
      <c r="E86" s="17" t="str">
        <f>IF(OR(E84="",E85=""),"",E84/E85-1)</f>
        <v/>
      </c>
      <c r="F86" s="17" t="str">
        <f>IF(OR(F84="",F85=""),"",F84/F85-1)</f>
        <v/>
      </c>
      <c r="G86" s="17">
        <f>IF(OR(G84="",G85=""),"",G84/G85-1)</f>
        <v>0.10614152202937244</v>
      </c>
      <c r="H86" s="17" t="str">
        <f>IF(OR(H84="",H85=""),"",H84/H85-1)</f>
        <v/>
      </c>
      <c r="I86" s="86"/>
      <c r="J86" s="17"/>
      <c r="K86" s="17"/>
      <c r="L86" s="17"/>
    </row>
    <row r="87" spans="2:12" s="15" customFormat="1">
      <c r="I87" s="96"/>
    </row>
  </sheetData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3CE1-F12E-42E1-BCD7-42A1BBD0AC35}">
  <dimension ref="B1:J87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0" sqref="E10"/>
    </sheetView>
  </sheetViews>
  <sheetFormatPr defaultRowHeight="14.25"/>
  <cols>
    <col min="1" max="1" width="2.875" style="25" customWidth="1"/>
    <col min="2" max="2" width="36.125" style="25" customWidth="1"/>
    <col min="3" max="10" width="18" style="25" customWidth="1"/>
    <col min="11" max="16384" width="9" style="25"/>
  </cols>
  <sheetData>
    <row r="1" spans="2:10">
      <c r="B1" s="23" t="s">
        <v>51</v>
      </c>
      <c r="C1" s="24" t="str">
        <f>IF(OR(C4="",C7="",C10=""),"",IF(ABS(C7-C4*C10)&lt;0.02,"OK","CHECK"))</f>
        <v>OK</v>
      </c>
      <c r="D1" s="24" t="str">
        <f>IF(OR(D4="",D7="",D10=""),"",IF(ABS(D7-D4*D10)&lt;0.02,"OK","CHECK"))</f>
        <v>OK</v>
      </c>
      <c r="E1" s="24" t="str">
        <f>IF(OR(E4="",E7="",E10=""),"",IF(ABS(E7-E4*E10)&lt;0.02,"OK","CHECK"))</f>
        <v>OK</v>
      </c>
      <c r="F1" s="24" t="str">
        <f>IF(OR(F4="",F7="",F10=""),"",IF(ABS(F7-F4*F10)&lt;0.02,"OK","CHECK"))</f>
        <v>OK</v>
      </c>
      <c r="G1" s="24" t="str">
        <f>IF(OR(G4="",G7="",G10=""),"",IF(ABS(G7-G4*G10)&lt;0.02,"OK","CHECK"))</f>
        <v>OK</v>
      </c>
      <c r="H1" s="24"/>
      <c r="I1" s="24"/>
      <c r="J1" s="24"/>
    </row>
    <row r="2" spans="2:10" ht="29.25">
      <c r="B2" s="26" t="s">
        <v>52</v>
      </c>
      <c r="C2" s="26" t="s">
        <v>53</v>
      </c>
      <c r="D2" s="26" t="s">
        <v>54</v>
      </c>
      <c r="E2" s="26" t="s">
        <v>57</v>
      </c>
      <c r="F2" s="26" t="s">
        <v>55</v>
      </c>
      <c r="G2" s="26" t="s">
        <v>56</v>
      </c>
      <c r="H2" s="26" t="s">
        <v>58</v>
      </c>
      <c r="I2" s="26" t="s">
        <v>59</v>
      </c>
      <c r="J2" s="26" t="s">
        <v>60</v>
      </c>
    </row>
    <row r="3" spans="2:10" ht="15">
      <c r="B3" s="27" t="s">
        <v>61</v>
      </c>
      <c r="C3" s="28"/>
      <c r="D3" s="28"/>
      <c r="E3" s="28"/>
      <c r="F3" s="28"/>
      <c r="G3" s="28"/>
      <c r="H3" s="28"/>
      <c r="I3" s="28"/>
      <c r="J3" s="28"/>
    </row>
    <row r="4" spans="2:10" ht="15">
      <c r="B4" s="29" t="s">
        <v>62</v>
      </c>
      <c r="C4" s="30">
        <v>191.12370000000001</v>
      </c>
      <c r="D4" s="30">
        <v>98.708560000000006</v>
      </c>
      <c r="E4" s="30">
        <v>88.29177</v>
      </c>
      <c r="F4" s="30">
        <v>74.84778</v>
      </c>
      <c r="G4" s="30">
        <v>22.983910000000002</v>
      </c>
      <c r="H4" s="30"/>
      <c r="I4" s="30"/>
      <c r="J4" s="30"/>
    </row>
    <row r="5" spans="2:10" ht="15">
      <c r="B5" s="31" t="s">
        <v>63</v>
      </c>
      <c r="C5" s="32">
        <v>181.37457000000001</v>
      </c>
      <c r="D5" s="32">
        <v>92.887110000000007</v>
      </c>
      <c r="E5" s="32">
        <v>83.919650000000004</v>
      </c>
      <c r="F5" s="32">
        <v>71.607730000000004</v>
      </c>
      <c r="G5" s="32">
        <v>20.250409999999999</v>
      </c>
      <c r="H5" s="32"/>
      <c r="I5" s="32"/>
      <c r="J5" s="32"/>
    </row>
    <row r="6" spans="2:10" s="36" customFormat="1">
      <c r="B6" s="33" t="s">
        <v>64</v>
      </c>
      <c r="C6" s="34">
        <f>IF(OR(C4="",C5=""),"",C4/C5-1)</f>
        <v>5.3751361064563907E-2</v>
      </c>
      <c r="D6" s="34">
        <f>IF(OR(D4="",D5=""),"",D4/D5-1)</f>
        <v>6.2672312659958873E-2</v>
      </c>
      <c r="E6" s="34">
        <f>IF(OR(E4="",E5=""),"",E4/E5-1)</f>
        <v>5.2098882681231418E-2</v>
      </c>
      <c r="F6" s="34">
        <f>IF(OR(F4="",F5=""),"",F4/F5-1)</f>
        <v>4.524721004282628E-2</v>
      </c>
      <c r="G6" s="34">
        <f>IF(OR(G4="",G5=""),"",G4/G5-1)</f>
        <v>0.1349849212929517</v>
      </c>
      <c r="H6" s="35"/>
      <c r="I6" s="35"/>
      <c r="J6" s="35"/>
    </row>
    <row r="7" spans="2:10" ht="15">
      <c r="B7" s="29" t="s">
        <v>65</v>
      </c>
      <c r="C7" s="30">
        <v>24.191590000000001</v>
      </c>
      <c r="D7" s="30">
        <v>19.691189999999999</v>
      </c>
      <c r="E7" s="30">
        <v>16.940190000000001</v>
      </c>
      <c r="F7" s="30">
        <v>11.13395</v>
      </c>
      <c r="G7" s="30">
        <v>4.7726800000000003</v>
      </c>
      <c r="H7" s="30"/>
      <c r="I7" s="30"/>
      <c r="J7" s="30"/>
    </row>
    <row r="8" spans="2:10" ht="15">
      <c r="B8" s="31" t="s">
        <v>66</v>
      </c>
      <c r="C8" s="37">
        <v>24.928730000000002</v>
      </c>
      <c r="D8" s="37">
        <v>18.080960000000001</v>
      </c>
      <c r="E8" s="37">
        <v>16.267289999999999</v>
      </c>
      <c r="F8" s="37">
        <v>12.103680000000001</v>
      </c>
      <c r="G8" s="37">
        <v>4.5507600000000004</v>
      </c>
      <c r="H8" s="37"/>
      <c r="I8" s="37"/>
      <c r="J8" s="37"/>
    </row>
    <row r="9" spans="2:10" s="36" customFormat="1">
      <c r="B9" s="33" t="s">
        <v>64</v>
      </c>
      <c r="C9" s="34">
        <f>IF(OR(C7="",C8=""),"",C7/C8-1)</f>
        <v>-2.9569897864833106E-2</v>
      </c>
      <c r="D9" s="34">
        <f t="shared" ref="D9:J9" si="0">IF(OR(D7="",D8=""),"",D7/D8-1)</f>
        <v>8.9056665132824619E-2</v>
      </c>
      <c r="E9" s="34">
        <f>IF(OR(E7="",E8=""),"",E7/E8-1)</f>
        <v>4.136521817709049E-2</v>
      </c>
      <c r="F9" s="34">
        <f t="shared" si="0"/>
        <v>-8.0118608555414528E-2</v>
      </c>
      <c r="G9" s="34">
        <f t="shared" si="0"/>
        <v>4.876548093065769E-2</v>
      </c>
      <c r="H9" s="35" t="str">
        <f t="shared" si="0"/>
        <v/>
      </c>
      <c r="I9" s="35" t="str">
        <f t="shared" si="0"/>
        <v/>
      </c>
      <c r="J9" s="35" t="str">
        <f t="shared" si="0"/>
        <v/>
      </c>
    </row>
    <row r="10" spans="2:10" ht="15">
      <c r="B10" s="29" t="s">
        <v>67</v>
      </c>
      <c r="C10" s="38">
        <f t="shared" ref="C10:G11" si="1">IF(OR(C7="",C4=""),"",C7/C4)</f>
        <v>0.12657556336550621</v>
      </c>
      <c r="D10" s="38">
        <f t="shared" si="1"/>
        <v>0.19948817002294428</v>
      </c>
      <c r="E10" s="38">
        <f>IF(OR(E7="",E4=""),"",E7/E4)</f>
        <v>0.19186601423892624</v>
      </c>
      <c r="F10" s="38">
        <f t="shared" si="1"/>
        <v>0.14875457896012415</v>
      </c>
      <c r="G10" s="38">
        <f t="shared" si="1"/>
        <v>0.20765309296808071</v>
      </c>
      <c r="H10" s="39"/>
      <c r="I10" s="39"/>
      <c r="J10" s="39"/>
    </row>
    <row r="11" spans="2:10" ht="15">
      <c r="B11" s="31" t="s">
        <v>68</v>
      </c>
      <c r="C11" s="40">
        <f t="shared" si="1"/>
        <v>0.13744335823925041</v>
      </c>
      <c r="D11" s="40">
        <f t="shared" si="1"/>
        <v>0.19465521104058464</v>
      </c>
      <c r="E11" s="40">
        <f>IF(OR(E8="",E5=""),"",E8/E5)</f>
        <v>0.19384363495319629</v>
      </c>
      <c r="F11" s="40">
        <f t="shared" si="1"/>
        <v>0.16902756168921987</v>
      </c>
      <c r="G11" s="40">
        <f t="shared" si="1"/>
        <v>0.22472433891461954</v>
      </c>
      <c r="H11" s="41"/>
      <c r="I11" s="41"/>
      <c r="J11" s="41"/>
    </row>
    <row r="12" spans="2:10" s="36" customFormat="1">
      <c r="B12" s="33" t="s">
        <v>69</v>
      </c>
      <c r="C12" s="42">
        <f>IF(OR(C10="",C11=""),"",(C10-C11)*100)</f>
        <v>-1.0867794873744203</v>
      </c>
      <c r="D12" s="42">
        <f>IF(OR(D10="",D11=""),"",(D10-D11)*100)</f>
        <v>0.48329589823596364</v>
      </c>
      <c r="E12" s="42">
        <f>IF(OR(E10="",E11=""),"",(E10-E11)*100)</f>
        <v>-0.19776207142700453</v>
      </c>
      <c r="F12" s="42">
        <f>IF(OR(F10="",F11=""),"",(F10-F11)*100)</f>
        <v>-2.0272982729095723</v>
      </c>
      <c r="G12" s="42">
        <f>IF(OR(G10="",G11=""),"",(G10-G11)*100)</f>
        <v>-1.7071245946538833</v>
      </c>
      <c r="H12" s="35"/>
      <c r="I12" s="35"/>
      <c r="J12" s="35"/>
    </row>
    <row r="13" spans="2:10" ht="15">
      <c r="B13" s="29" t="s">
        <v>70</v>
      </c>
      <c r="C13" s="30">
        <v>7.8156499999999998</v>
      </c>
      <c r="D13" s="30">
        <v>7.0627700000000004</v>
      </c>
      <c r="E13" s="30">
        <v>9.3349600000000006</v>
      </c>
      <c r="F13" s="30">
        <v>7.0058299999999996</v>
      </c>
      <c r="G13" s="30">
        <v>3.1500300000000001</v>
      </c>
      <c r="H13" s="30"/>
      <c r="I13" s="30"/>
      <c r="J13" s="30"/>
    </row>
    <row r="14" spans="2:10" ht="15">
      <c r="B14" s="31" t="s">
        <v>71</v>
      </c>
      <c r="C14" s="37">
        <v>7.9199200000000003</v>
      </c>
      <c r="D14" s="37">
        <v>6.1284799999999997</v>
      </c>
      <c r="E14" s="37">
        <v>8.9061199999999996</v>
      </c>
      <c r="F14" s="37">
        <v>7.7018700000000004</v>
      </c>
      <c r="G14" s="37">
        <v>2.9770699999999999</v>
      </c>
      <c r="H14" s="37"/>
      <c r="I14" s="37"/>
      <c r="J14" s="37"/>
    </row>
    <row r="15" spans="2:10" ht="15">
      <c r="B15" s="31" t="s">
        <v>72</v>
      </c>
      <c r="C15" s="37">
        <f>IF(OR(C13="",C14=""),"",C13-C14)</f>
        <v>-0.10427000000000053</v>
      </c>
      <c r="D15" s="37">
        <f>IF(OR(D13="",D14=""),"",D13-D14)</f>
        <v>0.93429000000000073</v>
      </c>
      <c r="E15" s="37">
        <f>IF(OR(E13="",E14=""),"",E13-E14)</f>
        <v>0.428840000000001</v>
      </c>
      <c r="F15" s="37">
        <f>IF(OR(F13="",F14=""),"",F13-F14)</f>
        <v>-0.69604000000000088</v>
      </c>
      <c r="G15" s="37">
        <f>IF(OR(G13="",G14=""),"",G13-G14)</f>
        <v>0.17296000000000022</v>
      </c>
      <c r="H15" s="37"/>
      <c r="I15" s="37"/>
      <c r="J15" s="37"/>
    </row>
    <row r="16" spans="2:10" s="36" customFormat="1">
      <c r="B16" s="33" t="s">
        <v>64</v>
      </c>
      <c r="C16" s="34">
        <f>IF(OR(C13="",C14=""),"",C13/C14-1)</f>
        <v>-1.3165537025626617E-2</v>
      </c>
      <c r="D16" s="34">
        <f>IF(OR(D13="",D14=""),"",D13/D14-1)</f>
        <v>0.15245052606845433</v>
      </c>
      <c r="E16" s="34">
        <f>IF(OR(E13="",E14=""),"",E13/E14-1)</f>
        <v>4.8151158978320563E-2</v>
      </c>
      <c r="F16" s="34">
        <f>IF(OR(F13="",F14=""),"",F13/F14-1)</f>
        <v>-9.0372857500840786E-2</v>
      </c>
      <c r="G16" s="34">
        <f>IF(OR(G13="",G14=""),"",G13/G14-1)</f>
        <v>5.8097391058994363E-2</v>
      </c>
      <c r="H16" s="35"/>
      <c r="I16" s="35"/>
      <c r="J16" s="35"/>
    </row>
    <row r="17" spans="2:10" ht="15">
      <c r="B17" s="29" t="s">
        <v>73</v>
      </c>
      <c r="C17" s="38">
        <f t="shared" ref="C17:G18" si="2">IF(OR(C13="",C4=""),"",C13/C4)</f>
        <v>4.0893149305920716E-2</v>
      </c>
      <c r="D17" s="38">
        <f t="shared" si="2"/>
        <v>7.1551747892989223E-2</v>
      </c>
      <c r="E17" s="38">
        <f>IF(OR(E13="",E4=""),"",E13/E4)</f>
        <v>0.10572854072355782</v>
      </c>
      <c r="F17" s="38">
        <f t="shared" si="2"/>
        <v>9.3601039336103212E-2</v>
      </c>
      <c r="G17" s="38">
        <f t="shared" si="2"/>
        <v>0.13705370409125339</v>
      </c>
      <c r="H17" s="39"/>
      <c r="I17" s="39"/>
      <c r="J17" s="39"/>
    </row>
    <row r="18" spans="2:10" ht="15">
      <c r="B18" s="31" t="s">
        <v>74</v>
      </c>
      <c r="C18" s="40">
        <f t="shared" si="2"/>
        <v>4.3666099387582286E-2</v>
      </c>
      <c r="D18" s="40">
        <f t="shared" si="2"/>
        <v>6.5977722850888557E-2</v>
      </c>
      <c r="E18" s="40">
        <f>IF(OR(E14="",E5=""),"",E14/E5)</f>
        <v>0.10612675338850912</v>
      </c>
      <c r="F18" s="40">
        <f t="shared" si="2"/>
        <v>0.10755640487416653</v>
      </c>
      <c r="G18" s="40">
        <f t="shared" si="2"/>
        <v>0.14701282591315434</v>
      </c>
      <c r="H18" s="41"/>
      <c r="I18" s="41"/>
      <c r="J18" s="41"/>
    </row>
    <row r="19" spans="2:10" s="36" customFormat="1">
      <c r="B19" s="33" t="s">
        <v>69</v>
      </c>
      <c r="C19" s="42">
        <f>IF(OR(C17="",C18=""),"",(C17-C18)*100)</f>
        <v>-0.27729500816615693</v>
      </c>
      <c r="D19" s="42">
        <f>IF(OR(D17="",D18=""),"",(D17-D18)*100)</f>
        <v>0.55740250421006665</v>
      </c>
      <c r="E19" s="42">
        <f>IF(OR(E17="",E18=""),"",(E17-E18)*100)</f>
        <v>-3.9821266495129737E-2</v>
      </c>
      <c r="F19" s="42">
        <f>IF(OR(F17="",F18=""),"",(F17-F18)*100)</f>
        <v>-1.3955365538063313</v>
      </c>
      <c r="G19" s="42">
        <f>IF(OR(G17="",G18=""),"",(G17-G18)*100)</f>
        <v>-0.99591218219009514</v>
      </c>
      <c r="H19" s="35"/>
      <c r="I19" s="35"/>
      <c r="J19" s="35"/>
    </row>
    <row r="20" spans="2:10" ht="15">
      <c r="B20" s="27" t="s">
        <v>75</v>
      </c>
      <c r="C20" s="28"/>
      <c r="D20" s="28"/>
      <c r="E20" s="28"/>
      <c r="F20" s="28"/>
      <c r="G20" s="28"/>
      <c r="H20" s="28"/>
      <c r="I20" s="28"/>
      <c r="J20" s="28"/>
    </row>
    <row r="21" spans="2:10" ht="15">
      <c r="B21" s="43" t="s">
        <v>76</v>
      </c>
      <c r="C21" s="44"/>
      <c r="D21" s="44"/>
      <c r="E21" s="44"/>
      <c r="F21" s="44"/>
      <c r="G21" s="44"/>
      <c r="H21" s="44"/>
      <c r="I21" s="44"/>
      <c r="J21" s="44"/>
    </row>
    <row r="22" spans="2:10" ht="15">
      <c r="B22" s="29" t="s">
        <v>62</v>
      </c>
      <c r="C22" s="30">
        <v>169.71250000000001</v>
      </c>
      <c r="D22" s="30">
        <v>72.995689999999996</v>
      </c>
      <c r="E22" s="30">
        <v>70.801929999999999</v>
      </c>
      <c r="F22" s="30">
        <v>62.019950000000001</v>
      </c>
      <c r="G22" s="30">
        <v>13.99901</v>
      </c>
      <c r="H22" s="30"/>
      <c r="I22" s="30"/>
      <c r="J22" s="30"/>
    </row>
    <row r="23" spans="2:10" ht="15">
      <c r="B23" s="31" t="s">
        <v>63</v>
      </c>
      <c r="C23" s="37">
        <v>158.08698999999999</v>
      </c>
      <c r="D23" s="37">
        <v>66.328559999999996</v>
      </c>
      <c r="E23" s="37">
        <v>63.247509999999998</v>
      </c>
      <c r="F23" s="37">
        <v>56.676780000000001</v>
      </c>
      <c r="G23" s="37">
        <v>11.5837</v>
      </c>
      <c r="H23" s="37"/>
      <c r="I23" s="37"/>
      <c r="J23" s="37"/>
    </row>
    <row r="24" spans="2:10" s="36" customFormat="1">
      <c r="B24" s="33" t="s">
        <v>64</v>
      </c>
      <c r="C24" s="34">
        <f>IF(OR(C22="",C23=""),"",C22/C23-1)</f>
        <v>7.3538689047087491E-2</v>
      </c>
      <c r="D24" s="34">
        <f>IF(OR(D22="",D23=""),"",D22/D23-1)</f>
        <v>0.1005167306511705</v>
      </c>
      <c r="E24" s="34">
        <f>IF(OR(E22="",E23=""),"",E22/E23-1)</f>
        <v>0.11944217250607969</v>
      </c>
      <c r="F24" s="34">
        <f>IF(OR(F22="",F23=""),"",F22/F23-1)</f>
        <v>9.4274410084694393E-2</v>
      </c>
      <c r="G24" s="34">
        <f>IF(OR(G22="",G23=""),"",G22/G23-1)</f>
        <v>0.20850937092638788</v>
      </c>
      <c r="H24" s="35"/>
      <c r="I24" s="35"/>
      <c r="J24" s="35"/>
    </row>
    <row r="25" spans="2:10" ht="15">
      <c r="B25" s="29" t="s">
        <v>65</v>
      </c>
      <c r="C25" s="30">
        <v>18.507180000000002</v>
      </c>
      <c r="D25" s="30">
        <v>11.654</v>
      </c>
      <c r="E25" s="30">
        <v>11.20279</v>
      </c>
      <c r="F25" s="30">
        <v>8.0625900000000001</v>
      </c>
      <c r="G25" s="30">
        <v>2.3854799999999998</v>
      </c>
      <c r="H25" s="30"/>
      <c r="I25" s="30"/>
      <c r="J25" s="30"/>
    </row>
    <row r="26" spans="2:10" ht="15">
      <c r="B26" s="31" t="s">
        <v>66</v>
      </c>
      <c r="C26" s="37">
        <v>18.15992</v>
      </c>
      <c r="D26" s="37">
        <v>10.178000000000001</v>
      </c>
      <c r="E26" s="37">
        <v>10.491250000000001</v>
      </c>
      <c r="F26" s="37">
        <v>8.7272200000000009</v>
      </c>
      <c r="G26" s="37">
        <v>2.1041300000000001</v>
      </c>
      <c r="H26" s="37"/>
      <c r="I26" s="37"/>
      <c r="J26" s="37"/>
    </row>
    <row r="27" spans="2:10" s="36" customFormat="1">
      <c r="B27" s="33" t="s">
        <v>64</v>
      </c>
      <c r="C27" s="34">
        <f>IF(OR(C25="",C26=""),"",C25/C26-1)</f>
        <v>1.912233093537874E-2</v>
      </c>
      <c r="D27" s="34">
        <f>IF(OR(D25="",D26=""),"",D25/D26-1)</f>
        <v>0.14501866771467853</v>
      </c>
      <c r="E27" s="34">
        <f>IF(OR(E25="",E26=""),"",E25/E26-1)</f>
        <v>6.7822232813058436E-2</v>
      </c>
      <c r="F27" s="34">
        <f>IF(OR(F25="",F26=""),"",F25/F26-1)</f>
        <v>-7.615598094238496E-2</v>
      </c>
      <c r="G27" s="34">
        <f>IF(OR(G25="",G26=""),"",G25/G26-1)</f>
        <v>0.13371322114127926</v>
      </c>
      <c r="H27" s="35"/>
      <c r="I27" s="35"/>
      <c r="J27" s="35"/>
    </row>
    <row r="28" spans="2:10" ht="15">
      <c r="B28" s="29" t="s">
        <v>67</v>
      </c>
      <c r="C28" s="38">
        <f t="shared" ref="C28:G29" si="3">IF(OR(C25="",C22=""),"",C25/C22)</f>
        <v>0.10905018781763277</v>
      </c>
      <c r="D28" s="38">
        <f t="shared" si="3"/>
        <v>0.15965326171997279</v>
      </c>
      <c r="E28" s="38">
        <f>IF(OR(E25="",E22=""),"",E25/E22)</f>
        <v>0.15822718391998636</v>
      </c>
      <c r="F28" s="38">
        <f t="shared" si="3"/>
        <v>0.12999994356654593</v>
      </c>
      <c r="G28" s="38">
        <f t="shared" si="3"/>
        <v>0.17040347853169616</v>
      </c>
      <c r="H28" s="39"/>
      <c r="I28" s="39"/>
      <c r="J28" s="39"/>
    </row>
    <row r="29" spans="2:10" ht="15">
      <c r="B29" s="31" t="s">
        <v>68</v>
      </c>
      <c r="C29" s="40">
        <f t="shared" si="3"/>
        <v>0.1148729569713485</v>
      </c>
      <c r="D29" s="40">
        <f t="shared" si="3"/>
        <v>0.15344822803329367</v>
      </c>
      <c r="E29" s="40">
        <f>IF(OR(E26="",E23=""),"",E26/E23)</f>
        <v>0.16587609535932721</v>
      </c>
      <c r="F29" s="40">
        <f t="shared" si="3"/>
        <v>0.15398228339718667</v>
      </c>
      <c r="G29" s="40">
        <f t="shared" si="3"/>
        <v>0.18164576085361325</v>
      </c>
      <c r="H29" s="41"/>
      <c r="I29" s="41"/>
      <c r="J29" s="41"/>
    </row>
    <row r="30" spans="2:10" s="36" customFormat="1">
      <c r="B30" s="33" t="s">
        <v>69</v>
      </c>
      <c r="C30" s="42">
        <f>IF(OR(C28="",C29=""),"",(C28-C29)*100)</f>
        <v>-0.58227691537157256</v>
      </c>
      <c r="D30" s="42">
        <f>IF(OR(D28="",D29=""),"",(D28-D29)*100)</f>
        <v>0.62050336866791289</v>
      </c>
      <c r="E30" s="42">
        <f>IF(OR(E28="",E29=""),"",(E28-E29)*100)</f>
        <v>-0.76489114393408497</v>
      </c>
      <c r="F30" s="42">
        <f>IF(OR(F28="",F29=""),"",(F28-F29)*100)</f>
        <v>-2.398233983064074</v>
      </c>
      <c r="G30" s="42">
        <f>IF(OR(G28="",G29=""),"",(G28-G29)*100)</f>
        <v>-1.1242282321917096</v>
      </c>
      <c r="H30" s="35"/>
      <c r="I30" s="35"/>
      <c r="J30" s="35"/>
    </row>
    <row r="31" spans="2:10" ht="15">
      <c r="B31" s="43" t="s">
        <v>77</v>
      </c>
      <c r="C31" s="44"/>
      <c r="D31" s="44"/>
      <c r="E31" s="44"/>
      <c r="F31" s="44"/>
      <c r="G31" s="44"/>
      <c r="H31" s="44"/>
      <c r="I31" s="44"/>
      <c r="J31" s="44"/>
    </row>
    <row r="32" spans="2:10" ht="15">
      <c r="B32" s="29" t="s">
        <v>62</v>
      </c>
      <c r="C32" s="30">
        <v>10.082079999999999</v>
      </c>
      <c r="D32" s="30">
        <v>12.664009999999999</v>
      </c>
      <c r="E32" s="30">
        <v>10.30203</v>
      </c>
      <c r="F32" s="30">
        <v>5.2456699999999996</v>
      </c>
      <c r="G32" s="30">
        <v>6.5502799999999999</v>
      </c>
      <c r="H32" s="30"/>
      <c r="I32" s="30"/>
      <c r="J32" s="30"/>
    </row>
    <row r="33" spans="2:10" ht="15">
      <c r="B33" s="31" t="s">
        <v>63</v>
      </c>
      <c r="C33" s="37">
        <v>10.4567</v>
      </c>
      <c r="D33" s="37">
        <v>13.567489999999999</v>
      </c>
      <c r="E33" s="37">
        <v>12.04133</v>
      </c>
      <c r="F33" s="37">
        <v>6.0798899999999998</v>
      </c>
      <c r="G33" s="37">
        <v>6.5254200000000004</v>
      </c>
      <c r="H33" s="37"/>
      <c r="I33" s="37"/>
      <c r="J33" s="37"/>
    </row>
    <row r="34" spans="2:10" s="36" customFormat="1">
      <c r="B34" s="33" t="s">
        <v>64</v>
      </c>
      <c r="C34" s="34">
        <f>IF(OR(C32="",C33=""),"",C32/C33-1)</f>
        <v>-3.5825834154178726E-2</v>
      </c>
      <c r="D34" s="34">
        <f>IF(OR(D32="",D33=""),"",D32/D33-1)</f>
        <v>-6.659153609105295E-2</v>
      </c>
      <c r="E34" s="34">
        <f>IF(OR(E32="",E33=""),"",E32/E33-1)</f>
        <v>-0.14444417684757416</v>
      </c>
      <c r="F34" s="34">
        <f>IF(OR(F32="",F33=""),"",F32/F33-1)</f>
        <v>-0.1372097192547892</v>
      </c>
      <c r="G34" s="34">
        <f>IF(OR(G32="",G33=""),"",G32/G33-1)</f>
        <v>3.809716462695123E-3</v>
      </c>
      <c r="H34" s="35"/>
      <c r="I34" s="35"/>
      <c r="J34" s="35"/>
    </row>
    <row r="35" spans="2:10" ht="15">
      <c r="B35" s="29" t="s">
        <v>65</v>
      </c>
      <c r="C35" s="30">
        <v>2.68289</v>
      </c>
      <c r="D35" s="30">
        <v>3.6269999999999998</v>
      </c>
      <c r="E35" s="30">
        <v>4.8190299999999997</v>
      </c>
      <c r="F35" s="30">
        <v>2.0562999999999998</v>
      </c>
      <c r="G35" s="30">
        <v>1.61121</v>
      </c>
      <c r="H35" s="30"/>
      <c r="I35" s="30"/>
      <c r="J35" s="30"/>
    </row>
    <row r="36" spans="2:10" ht="15">
      <c r="B36" s="31" t="s">
        <v>66</v>
      </c>
      <c r="C36" s="37">
        <v>3.0422400000000001</v>
      </c>
      <c r="D36" s="37">
        <v>3.605</v>
      </c>
      <c r="E36" s="37">
        <v>4.8081399999999999</v>
      </c>
      <c r="F36" s="37">
        <v>2.14012</v>
      </c>
      <c r="G36" s="37">
        <v>1.70444</v>
      </c>
      <c r="H36" s="37"/>
      <c r="I36" s="37"/>
      <c r="J36" s="37"/>
    </row>
    <row r="37" spans="2:10" s="36" customFormat="1">
      <c r="B37" s="33" t="s">
        <v>64</v>
      </c>
      <c r="C37" s="34">
        <f>IF(OR(C35="",C36=""),"",C35/C36-1)</f>
        <v>-0.11812020090459663</v>
      </c>
      <c r="D37" s="34">
        <f>IF(OR(D35="",D36=""),"",D35/D36-1)</f>
        <v>6.1026352288486851E-3</v>
      </c>
      <c r="E37" s="34">
        <f>IF(OR(E35="",E36=""),"",E35/E36-1)</f>
        <v>2.2649090916653236E-3</v>
      </c>
      <c r="F37" s="34">
        <f>IF(OR(F35="",F36=""),"",F35/F36-1)</f>
        <v>-3.9166028073192249E-2</v>
      </c>
      <c r="G37" s="34">
        <f>IF(OR(G35="",G36=""),"",G35/G36-1)</f>
        <v>-5.4698317335899138E-2</v>
      </c>
      <c r="H37" s="35"/>
      <c r="I37" s="35"/>
      <c r="J37" s="35"/>
    </row>
    <row r="38" spans="2:10" ht="15">
      <c r="B38" s="29" t="s">
        <v>67</v>
      </c>
      <c r="C38" s="38">
        <f t="shared" ref="C38:G39" si="4">IF(OR(C35="",C32=""),"",C35/C32)</f>
        <v>0.26610481170552108</v>
      </c>
      <c r="D38" s="38">
        <f t="shared" si="4"/>
        <v>0.2864021743507783</v>
      </c>
      <c r="E38" s="38">
        <f>IF(OR(E35="",E32=""),"",E35/E32)</f>
        <v>0.46777479778257292</v>
      </c>
      <c r="F38" s="38">
        <f t="shared" si="4"/>
        <v>0.3919994967277774</v>
      </c>
      <c r="G38" s="38">
        <f t="shared" si="4"/>
        <v>0.24597574454832466</v>
      </c>
      <c r="H38" s="39"/>
      <c r="I38" s="39"/>
      <c r="J38" s="39"/>
    </row>
    <row r="39" spans="2:10" ht="15">
      <c r="B39" s="31" t="s">
        <v>68</v>
      </c>
      <c r="C39" s="40">
        <f t="shared" si="4"/>
        <v>0.29093691126263543</v>
      </c>
      <c r="D39" s="40">
        <f t="shared" si="4"/>
        <v>0.26570869040625789</v>
      </c>
      <c r="E39" s="40">
        <f>IF(OR(E36="",E33=""),"",E36/E33)</f>
        <v>0.39930306702000523</v>
      </c>
      <c r="F39" s="40">
        <f t="shared" si="4"/>
        <v>0.35199978946987531</v>
      </c>
      <c r="G39" s="40">
        <f t="shared" si="4"/>
        <v>0.26120004536106484</v>
      </c>
      <c r="H39" s="41"/>
      <c r="I39" s="41"/>
      <c r="J39" s="41"/>
    </row>
    <row r="40" spans="2:10" s="36" customFormat="1">
      <c r="B40" s="33" t="s">
        <v>69</v>
      </c>
      <c r="C40" s="42">
        <f>IF(OR(C38="",C39=""),"",(C38-C39)*100)</f>
        <v>-2.4832099557114349</v>
      </c>
      <c r="D40" s="42">
        <f>IF(OR(D38="",D39=""),"",(D38-D39)*100)</f>
        <v>2.0693483944520419</v>
      </c>
      <c r="E40" s="42">
        <f>IF(OR(E38="",E39=""),"",(E38-E39)*100)</f>
        <v>6.8471730762567686</v>
      </c>
      <c r="F40" s="42">
        <f>IF(OR(F38="",F39=""),"",(F38-F39)*100)</f>
        <v>3.9999707257902086</v>
      </c>
      <c r="G40" s="42">
        <f>IF(OR(G38="",G39=""),"",(G38-G39)*100)</f>
        <v>-1.5224300812740177</v>
      </c>
      <c r="H40" s="35"/>
      <c r="I40" s="35"/>
      <c r="J40" s="35"/>
    </row>
    <row r="41" spans="2:10">
      <c r="B41" s="45" t="s">
        <v>78</v>
      </c>
      <c r="C41" s="46" t="s">
        <v>79</v>
      </c>
      <c r="D41" s="46" t="s">
        <v>80</v>
      </c>
      <c r="E41" s="46" t="s">
        <v>81</v>
      </c>
      <c r="F41" s="46" t="s">
        <v>81</v>
      </c>
      <c r="G41" s="46" t="s">
        <v>81</v>
      </c>
      <c r="H41" s="47"/>
      <c r="I41" s="47"/>
      <c r="J41" s="47"/>
    </row>
    <row r="42" spans="2:10" ht="15">
      <c r="B42" s="29" t="s">
        <v>62</v>
      </c>
      <c r="C42" s="30">
        <v>1.7698499999999999</v>
      </c>
      <c r="D42" s="30">
        <v>13.048859999999999</v>
      </c>
      <c r="E42" s="30">
        <v>7.1878099999999998</v>
      </c>
      <c r="F42" s="30">
        <v>7.3282400000000001</v>
      </c>
      <c r="G42" s="30">
        <v>2.4346199999999998</v>
      </c>
      <c r="H42" s="30"/>
      <c r="I42" s="30"/>
      <c r="J42" s="30"/>
    </row>
    <row r="43" spans="2:10" ht="15">
      <c r="B43" s="31" t="s">
        <v>63</v>
      </c>
      <c r="C43" s="37">
        <v>2.19285</v>
      </c>
      <c r="D43" s="37">
        <v>12.991059999999999</v>
      </c>
      <c r="E43" s="37">
        <v>8.6308100000000003</v>
      </c>
      <c r="F43" s="37">
        <v>8.5781500000000008</v>
      </c>
      <c r="G43" s="37">
        <v>2.1412900000000001</v>
      </c>
      <c r="H43" s="37"/>
      <c r="I43" s="37"/>
      <c r="J43" s="37"/>
    </row>
    <row r="44" spans="2:10" s="36" customFormat="1">
      <c r="B44" s="33" t="s">
        <v>64</v>
      </c>
      <c r="C44" s="34">
        <f>IF(OR(C42="",C43=""),"",C42/C43-1)</f>
        <v>-0.19289965113892882</v>
      </c>
      <c r="D44" s="34">
        <f>IF(OR(D42="",D43=""),"",D42/D43-1)</f>
        <v>4.4492135360778562E-3</v>
      </c>
      <c r="E44" s="34">
        <f>IF(OR(E42="",E43=""),"",E42/E43-1)</f>
        <v>-0.16719172360415768</v>
      </c>
      <c r="F44" s="34">
        <f>IF(OR(F42="",F43=""),"",F42/F43-1)</f>
        <v>-0.14570857352692601</v>
      </c>
      <c r="G44" s="34">
        <f>IF(OR(G42="",G43=""),"",G42/G43-1)</f>
        <v>0.13698751687067134</v>
      </c>
      <c r="H44" s="35"/>
      <c r="I44" s="35"/>
      <c r="J44" s="35"/>
    </row>
    <row r="45" spans="2:10" ht="15">
      <c r="B45" s="29" t="s">
        <v>65</v>
      </c>
      <c r="C45" s="30">
        <v>6.3210000000000002E-2</v>
      </c>
      <c r="D45" s="30">
        <v>4.41</v>
      </c>
      <c r="E45" s="30">
        <v>0.91837000000000002</v>
      </c>
      <c r="F45" s="30">
        <v>0.97465999999999997</v>
      </c>
      <c r="G45" s="30">
        <v>0.77598999999999996</v>
      </c>
      <c r="H45" s="30"/>
      <c r="I45" s="30"/>
      <c r="J45" s="30"/>
    </row>
    <row r="46" spans="2:10" ht="15">
      <c r="B46" s="31" t="s">
        <v>66</v>
      </c>
      <c r="C46" s="37">
        <v>0.21332999999999999</v>
      </c>
      <c r="D46" s="37">
        <v>4.298</v>
      </c>
      <c r="E46" s="37">
        <v>0.96789999999999998</v>
      </c>
      <c r="F46" s="37">
        <v>1.14907</v>
      </c>
      <c r="G46" s="37">
        <v>0.74219000000000002</v>
      </c>
      <c r="H46" s="37"/>
      <c r="I46" s="37"/>
      <c r="J46" s="37"/>
    </row>
    <row r="47" spans="2:10" s="36" customFormat="1">
      <c r="B47" s="33" t="s">
        <v>64</v>
      </c>
      <c r="C47" s="34">
        <f>IF(OR(C45="",C46=""),"",C45/C46-1)</f>
        <v>-0.70369849528898887</v>
      </c>
      <c r="D47" s="34">
        <f>IF(OR(D45="",D46=""),"",D45/D46-1)</f>
        <v>2.6058631921824116E-2</v>
      </c>
      <c r="E47" s="34">
        <f>IF(OR(E45="",E46=""),"",E45/E46-1)</f>
        <v>-5.1172641801839003E-2</v>
      </c>
      <c r="F47" s="34">
        <f>IF(OR(F45="",F46=""),"",F45/F46-1)</f>
        <v>-0.15178361631580328</v>
      </c>
      <c r="G47" s="34">
        <f>IF(OR(G45="",G46=""),"",G45/G46-1)</f>
        <v>4.5540899230655185E-2</v>
      </c>
      <c r="H47" s="35"/>
      <c r="I47" s="35"/>
      <c r="J47" s="35"/>
    </row>
    <row r="48" spans="2:10" ht="15">
      <c r="B48" s="29" t="s">
        <v>67</v>
      </c>
      <c r="C48" s="38">
        <f t="shared" ref="C48:G49" si="5">IF(OR(C45="",C42=""),"",C45/C42)</f>
        <v>3.5714891092465464E-2</v>
      </c>
      <c r="D48" s="38">
        <f t="shared" si="5"/>
        <v>0.33796055747398623</v>
      </c>
      <c r="E48" s="38">
        <f>IF(OR(E45="",E42=""),"",E45/E42)</f>
        <v>0.12776770671456258</v>
      </c>
      <c r="F48" s="38">
        <f t="shared" si="5"/>
        <v>0.13300055675032477</v>
      </c>
      <c r="G48" s="38">
        <f t="shared" si="5"/>
        <v>0.31873146528000262</v>
      </c>
      <c r="H48" s="39"/>
      <c r="I48" s="39"/>
      <c r="J48" s="39"/>
    </row>
    <row r="49" spans="2:10" ht="15">
      <c r="B49" s="31" t="s">
        <v>68</v>
      </c>
      <c r="C49" s="40">
        <f t="shared" si="5"/>
        <v>9.7284355975100892E-2</v>
      </c>
      <c r="D49" s="40">
        <f t="shared" si="5"/>
        <v>0.33084290273464984</v>
      </c>
      <c r="E49" s="40">
        <f>IF(OR(E46="",E43=""),"",E46/E43)</f>
        <v>0.11214474655333624</v>
      </c>
      <c r="F49" s="40">
        <f t="shared" si="5"/>
        <v>0.1339531250910744</v>
      </c>
      <c r="G49" s="40">
        <f t="shared" si="5"/>
        <v>0.3466088199169659</v>
      </c>
      <c r="H49" s="41"/>
      <c r="I49" s="41"/>
      <c r="J49" s="41"/>
    </row>
    <row r="50" spans="2:10" s="36" customFormat="1">
      <c r="B50" s="33" t="s">
        <v>69</v>
      </c>
      <c r="C50" s="42">
        <f>IF(OR(C48="",C49=""),"",(C48-C49)*100)</f>
        <v>-6.156946488263543</v>
      </c>
      <c r="D50" s="42">
        <f>IF(OR(D48="",D49=""),"",(D48-D49)*100)</f>
        <v>0.71176547393363987</v>
      </c>
      <c r="E50" s="42">
        <f>IF(OR(E48="",E49=""),"",(E48-E49)*100)</f>
        <v>1.5622960161226342</v>
      </c>
      <c r="F50" s="42">
        <f>IF(OR(F48="",F49=""),"",(F48-F49)*100)</f>
        <v>-9.525683407496377E-2</v>
      </c>
      <c r="G50" s="42">
        <f>IF(OR(G48="",G49=""),"",(G48-G49)*100)</f>
        <v>-2.7877354636963281</v>
      </c>
      <c r="H50" s="35"/>
      <c r="I50" s="35"/>
      <c r="J50" s="35"/>
    </row>
    <row r="51" spans="2:10">
      <c r="B51" s="45" t="s">
        <v>82</v>
      </c>
      <c r="C51" s="46" t="s">
        <v>83</v>
      </c>
      <c r="D51" s="46"/>
      <c r="E51" s="46"/>
      <c r="F51" s="46" t="s">
        <v>84</v>
      </c>
      <c r="G51" s="46"/>
      <c r="H51" s="47"/>
      <c r="I51" s="47"/>
      <c r="J51" s="47"/>
    </row>
    <row r="52" spans="2:10" ht="15">
      <c r="B52" s="29" t="s">
        <v>62</v>
      </c>
      <c r="C52" s="30">
        <v>9.5592699999999997</v>
      </c>
      <c r="D52" s="30"/>
      <c r="E52" s="30"/>
      <c r="F52" s="30">
        <v>0.25391999999999998</v>
      </c>
      <c r="G52" s="30"/>
      <c r="H52" s="30"/>
      <c r="I52" s="30"/>
      <c r="J52" s="30"/>
    </row>
    <row r="53" spans="2:10" ht="15">
      <c r="B53" s="31" t="s">
        <v>63</v>
      </c>
      <c r="C53" s="37">
        <v>10.638030000000001</v>
      </c>
      <c r="D53" s="37"/>
      <c r="E53" s="37"/>
      <c r="F53" s="37">
        <v>0.27290999999999999</v>
      </c>
      <c r="G53" s="37"/>
      <c r="H53" s="37"/>
      <c r="I53" s="37"/>
      <c r="J53" s="37"/>
    </row>
    <row r="54" spans="2:10" s="36" customFormat="1">
      <c r="B54" s="33" t="s">
        <v>64</v>
      </c>
      <c r="C54" s="34">
        <f>IF(OR(C52="",C53=""),"",C52/C53-1)</f>
        <v>-0.10140599340291401</v>
      </c>
      <c r="D54" s="34" t="str">
        <f>IF(OR(D52="",D53=""),"",D52/D53-1)</f>
        <v/>
      </c>
      <c r="E54" s="34" t="str">
        <f>IF(OR(E52="",E53=""),"",E52/E53-1)</f>
        <v/>
      </c>
      <c r="F54" s="34">
        <f>IF(OR(F52="",F53=""),"",F52/F53-1)</f>
        <v>-6.9583379135978896E-2</v>
      </c>
      <c r="G54" s="34" t="str">
        <f>IF(OR(G52="",G53=""),"",G52/G53-1)</f>
        <v/>
      </c>
      <c r="H54" s="35"/>
      <c r="I54" s="35"/>
      <c r="J54" s="35"/>
    </row>
    <row r="55" spans="2:10" ht="15">
      <c r="B55" s="29" t="s">
        <v>65</v>
      </c>
      <c r="C55" s="30">
        <v>2.93831</v>
      </c>
      <c r="D55" s="30"/>
      <c r="E55" s="30"/>
      <c r="F55" s="30">
        <v>7.0059999999999997E-2</v>
      </c>
      <c r="G55" s="30"/>
      <c r="H55" s="30"/>
      <c r="I55" s="30"/>
      <c r="J55" s="30"/>
    </row>
    <row r="56" spans="2:10" ht="15">
      <c r="B56" s="31" t="s">
        <v>66</v>
      </c>
      <c r="C56" s="37">
        <v>3.5132400000000001</v>
      </c>
      <c r="D56" s="37"/>
      <c r="E56" s="37"/>
      <c r="F56" s="37">
        <v>7.0279999999999995E-2</v>
      </c>
      <c r="G56" s="37"/>
      <c r="H56" s="37"/>
      <c r="I56" s="37"/>
      <c r="J56" s="37"/>
    </row>
    <row r="57" spans="2:10" s="36" customFormat="1">
      <c r="B57" s="33" t="s">
        <v>64</v>
      </c>
      <c r="C57" s="34">
        <f>IF(OR(C55="",C56=""),"",C55/C56-1)</f>
        <v>-0.16364666234017611</v>
      </c>
      <c r="D57" s="34" t="str">
        <f>IF(OR(D55="",D56=""),"",D55/D56-1)</f>
        <v/>
      </c>
      <c r="E57" s="34" t="str">
        <f>IF(OR(E55="",E56=""),"",E55/E56-1)</f>
        <v/>
      </c>
      <c r="F57" s="34">
        <f>IF(OR(F55="",F56=""),"",F55/F56-1)</f>
        <v>-3.1303357996584902E-3</v>
      </c>
      <c r="G57" s="34" t="str">
        <f>IF(OR(G55="",G56=""),"",G55/G56-1)</f>
        <v/>
      </c>
      <c r="H57" s="35"/>
      <c r="I57" s="35"/>
      <c r="J57" s="35"/>
    </row>
    <row r="58" spans="2:10" ht="15">
      <c r="B58" s="29" t="s">
        <v>67</v>
      </c>
      <c r="C58" s="38">
        <f t="shared" ref="C58:G59" si="6">IF(OR(C55="",C52=""),"",C55/C52)</f>
        <v>0.30737807384873533</v>
      </c>
      <c r="D58" s="38" t="str">
        <f t="shared" si="6"/>
        <v/>
      </c>
      <c r="E58" s="38" t="str">
        <f>IF(OR(E55="",E52=""),"",E55/E52)</f>
        <v/>
      </c>
      <c r="F58" s="38">
        <f t="shared" si="6"/>
        <v>0.27591367359798363</v>
      </c>
      <c r="G58" s="38" t="str">
        <f t="shared" si="6"/>
        <v/>
      </c>
      <c r="H58" s="39"/>
      <c r="I58" s="39"/>
      <c r="J58" s="39"/>
    </row>
    <row r="59" spans="2:10" ht="15">
      <c r="B59" s="31" t="s">
        <v>68</v>
      </c>
      <c r="C59" s="40">
        <f t="shared" si="6"/>
        <v>0.3302528757674118</v>
      </c>
      <c r="D59" s="40" t="str">
        <f t="shared" si="6"/>
        <v/>
      </c>
      <c r="E59" s="40" t="str">
        <f>IF(OR(E56="",E53=""),"",E56/E53)</f>
        <v/>
      </c>
      <c r="F59" s="40">
        <f t="shared" si="6"/>
        <v>0.25752079440108461</v>
      </c>
      <c r="G59" s="40" t="str">
        <f t="shared" si="6"/>
        <v/>
      </c>
      <c r="H59" s="41"/>
      <c r="I59" s="41"/>
      <c r="J59" s="41"/>
    </row>
    <row r="60" spans="2:10" s="36" customFormat="1">
      <c r="B60" s="33" t="s">
        <v>69</v>
      </c>
      <c r="C60" s="42">
        <f>IF(OR(C58="",C59=""),"",(C58-C59)*100)</f>
        <v>-2.2874801918676466</v>
      </c>
      <c r="D60" s="42" t="str">
        <f>IF(OR(D58="",D59=""),"",(D58-D59)*100)</f>
        <v/>
      </c>
      <c r="E60" s="42" t="str">
        <f>IF(OR(E58="",E59=""),"",(E58-E59)*100)</f>
        <v/>
      </c>
      <c r="F60" s="42">
        <f>IF(OR(F58="",F59=""),"",(F58-F59)*100)</f>
        <v>1.8392879196899026</v>
      </c>
      <c r="G60" s="42" t="str">
        <f>IF(OR(G58="",G59=""),"",(G58-G59)*100)</f>
        <v/>
      </c>
      <c r="H60" s="35"/>
      <c r="I60" s="35"/>
      <c r="J60" s="35"/>
    </row>
    <row r="61" spans="2:10" ht="15">
      <c r="B61" s="27" t="s">
        <v>85</v>
      </c>
      <c r="C61" s="28"/>
      <c r="D61" s="28"/>
      <c r="E61" s="28"/>
      <c r="F61" s="28"/>
      <c r="G61" s="28"/>
      <c r="H61" s="28"/>
      <c r="I61" s="28"/>
      <c r="J61" s="28"/>
    </row>
    <row r="62" spans="2:10" ht="15">
      <c r="B62" s="48" t="s">
        <v>86</v>
      </c>
      <c r="C62" s="30">
        <v>88.460229999999996</v>
      </c>
      <c r="D62" s="30">
        <v>74.205650000000006</v>
      </c>
      <c r="E62" s="30">
        <v>46.642800000000001</v>
      </c>
      <c r="F62" s="30">
        <v>44.03275</v>
      </c>
      <c r="G62" s="30">
        <v>8.7875999999999994</v>
      </c>
      <c r="H62" s="30"/>
      <c r="I62" s="30"/>
      <c r="J62" s="30"/>
    </row>
    <row r="63" spans="2:10" ht="15">
      <c r="B63" s="49" t="s">
        <v>87</v>
      </c>
      <c r="C63" s="50">
        <v>76.801659999999998</v>
      </c>
      <c r="D63" s="50">
        <v>58.240740000000002</v>
      </c>
      <c r="E63" s="50">
        <v>36.229300000000002</v>
      </c>
      <c r="F63" s="50">
        <v>32.373449999999998</v>
      </c>
      <c r="G63" s="50">
        <v>5.2123900000000001</v>
      </c>
      <c r="H63" s="50"/>
      <c r="I63" s="50"/>
      <c r="J63" s="50"/>
    </row>
    <row r="64" spans="2:10" ht="15">
      <c r="B64" s="31" t="s">
        <v>88</v>
      </c>
      <c r="C64" s="37">
        <v>17.741060000000001</v>
      </c>
      <c r="D64" s="37"/>
      <c r="E64" s="37">
        <v>7.3803200000000002</v>
      </c>
      <c r="F64" s="37">
        <v>4.3118600000000002</v>
      </c>
      <c r="G64" s="37">
        <v>1.0224</v>
      </c>
      <c r="H64" s="37"/>
      <c r="I64" s="37"/>
      <c r="J64" s="37"/>
    </row>
    <row r="65" spans="2:10" ht="15">
      <c r="B65" s="31" t="s">
        <v>89</v>
      </c>
      <c r="C65" s="37">
        <v>70.719170000000005</v>
      </c>
      <c r="D65" s="37"/>
      <c r="E65" s="37">
        <v>39.262479999999996</v>
      </c>
      <c r="F65" s="37">
        <v>39.720889999999997</v>
      </c>
      <c r="G65" s="37">
        <v>7.7652000000000001</v>
      </c>
      <c r="H65" s="37"/>
      <c r="I65" s="37"/>
      <c r="J65" s="37"/>
    </row>
    <row r="66" spans="2:10" ht="15">
      <c r="B66" s="48" t="s">
        <v>90</v>
      </c>
      <c r="C66" s="38">
        <f>IF(OR(C62="",C4=""),"",C62/C4/2)</f>
        <v>0.23142140404355921</v>
      </c>
      <c r="D66" s="38">
        <f>IF(OR(D62="",D4=""),"",D62/D4/2)</f>
        <v>0.37588254757236861</v>
      </c>
      <c r="E66" s="38">
        <f>IF(OR(E62="",E4=""),"",E62/E4/2)</f>
        <v>0.26414013446553397</v>
      </c>
      <c r="F66" s="38">
        <f>IF(OR(F62="",F4=""),"",F62/F4/2)</f>
        <v>0.29414867080894047</v>
      </c>
      <c r="G66" s="38">
        <f>IF(OR(G62="",G4=""),"",G62/G4/2)</f>
        <v>0.19116851745416683</v>
      </c>
      <c r="H66" s="51"/>
      <c r="I66" s="51"/>
      <c r="J66" s="51"/>
    </row>
    <row r="67" spans="2:10" s="52" customFormat="1" ht="15">
      <c r="B67" s="31" t="s">
        <v>91</v>
      </c>
      <c r="C67" s="40">
        <f>IF(OR(C64="",C4=""),"",C64/C4/2)</f>
        <v>4.6412506664531922E-2</v>
      </c>
      <c r="D67" s="40" t="str">
        <f>IF(OR(D64="",D4=""),"",D64/D4/2)</f>
        <v/>
      </c>
      <c r="E67" s="40">
        <f>IF(OR(E64="",E4=""),"",E64/E4/2)</f>
        <v>4.1795061985958601E-2</v>
      </c>
      <c r="F67" s="40">
        <f>IF(OR(F64="",F4=""),"",F64/F4/2)</f>
        <v>2.8804194326137664E-2</v>
      </c>
      <c r="G67" s="40">
        <f>IF(OR(G64="",G4=""),"",G64/G4/2)</f>
        <v>2.2241646438747799E-2</v>
      </c>
      <c r="H67" s="41"/>
      <c r="I67" s="41"/>
      <c r="J67" s="41"/>
    </row>
    <row r="68" spans="2:10" s="52" customFormat="1" ht="15">
      <c r="B68" s="31" t="s">
        <v>92</v>
      </c>
      <c r="C68" s="40">
        <f>IF(OR(C65="",C4=""),"",C65/C4/2)</f>
        <v>0.18500889737902729</v>
      </c>
      <c r="D68" s="40" t="str">
        <f>IF(OR(D65="",D4=""),"",D65/D4/2)</f>
        <v/>
      </c>
      <c r="E68" s="40">
        <f>IF(OR(E65="",E4=""),"",E65/E4/2)</f>
        <v>0.22234507247957538</v>
      </c>
      <c r="F68" s="40">
        <f>IF(OR(F65="",F4=""),"",F65/F4/2)</f>
        <v>0.26534447648280279</v>
      </c>
      <c r="G68" s="40">
        <f>IF(OR(G65="",G4=""),"",G65/G4/2)</f>
        <v>0.16892687101541903</v>
      </c>
      <c r="H68" s="41"/>
      <c r="I68" s="41"/>
      <c r="J68" s="41"/>
    </row>
    <row r="69" spans="2:10" ht="15">
      <c r="B69" s="27" t="s">
        <v>93</v>
      </c>
      <c r="C69" s="28"/>
      <c r="D69" s="28"/>
      <c r="E69" s="28"/>
      <c r="F69" s="28"/>
      <c r="G69" s="28"/>
      <c r="H69" s="28"/>
      <c r="I69" s="28"/>
      <c r="J69" s="28"/>
    </row>
    <row r="70" spans="2:10" ht="15">
      <c r="B70" s="48" t="s">
        <v>94</v>
      </c>
      <c r="C70" s="30">
        <v>69.222030000000004</v>
      </c>
      <c r="D70" s="30">
        <v>23.906220000000001</v>
      </c>
      <c r="E70" s="30">
        <v>27.869309999999999</v>
      </c>
      <c r="F70" s="30">
        <v>28.4404</v>
      </c>
      <c r="G70" s="30">
        <v>5.1923899999999996</v>
      </c>
      <c r="H70" s="30"/>
      <c r="I70" s="30"/>
      <c r="J70" s="30"/>
    </row>
    <row r="71" spans="2:10" ht="15">
      <c r="B71" s="31" t="s">
        <v>95</v>
      </c>
      <c r="C71" s="37">
        <v>4.55124</v>
      </c>
      <c r="D71" s="37"/>
      <c r="E71" s="37">
        <v>0.71511999999999998</v>
      </c>
      <c r="F71" s="37"/>
      <c r="G71" s="37">
        <v>1.453E-2</v>
      </c>
      <c r="H71" s="37"/>
      <c r="I71" s="37"/>
      <c r="J71" s="37"/>
    </row>
    <row r="72" spans="2:10" ht="15">
      <c r="B72" s="31" t="s">
        <v>96</v>
      </c>
      <c r="C72" s="37">
        <v>64.670789999999997</v>
      </c>
      <c r="D72" s="37"/>
      <c r="E72" s="37">
        <v>27.15419</v>
      </c>
      <c r="F72" s="37"/>
      <c r="G72" s="37">
        <v>5.1778599999999999</v>
      </c>
      <c r="H72" s="37"/>
      <c r="I72" s="37"/>
      <c r="J72" s="37"/>
    </row>
    <row r="73" spans="2:10" ht="15">
      <c r="B73" s="48" t="s">
        <v>97</v>
      </c>
      <c r="C73" s="38">
        <f>IF(OR(C70="",C4="",C7=""),"",C70/(C4-C7)/2)</f>
        <v>0.20733587444620449</v>
      </c>
      <c r="D73" s="38">
        <f>IF(OR(D70="",D4="",D7=""),"",D70/(D4-D7)/2)</f>
        <v>0.15127192919733978</v>
      </c>
      <c r="E73" s="38">
        <f>IF(OR(E70="",E4="",E7=""),"",E70/(E4-E7)/2)</f>
        <v>0.19529567530249506</v>
      </c>
      <c r="F73" s="38">
        <f>IF(OR(F70="",F4="",F7=""),"",F70/(F4-F7)/2)</f>
        <v>0.22318859186459203</v>
      </c>
      <c r="G73" s="38">
        <f>IF(OR(G70="",G4="",G7=""),"",G70/(G4-G7)/2)</f>
        <v>0.14256011263379792</v>
      </c>
      <c r="H73" s="30"/>
      <c r="I73" s="30"/>
      <c r="J73" s="30"/>
    </row>
    <row r="74" spans="2:10" s="52" customFormat="1" ht="15">
      <c r="B74" s="31" t="s">
        <v>98</v>
      </c>
      <c r="C74" s="40">
        <f>IF(OR(C71="",C4="",C7=""),"",C71/(C4-C7)/2)</f>
        <v>1.363200884479325E-2</v>
      </c>
      <c r="D74" s="40" t="str">
        <f>IF(OR(D71="",D4="",D7=""),"",D71/(D4-D7)/2)</f>
        <v/>
      </c>
      <c r="E74" s="40">
        <f>IF(OR(E71="",E4="",E7=""),"",E71/(E4-E7)/2)</f>
        <v>5.0112415170063505E-3</v>
      </c>
      <c r="F74" s="40" t="str">
        <f>IF(OR(F71="",F4="",F7=""),"",F71/(F4-F7)/2)</f>
        <v/>
      </c>
      <c r="G74" s="40">
        <f>IF(OR(G71="",G4="",G7=""),"",G71/(G4-G7)/2)</f>
        <v>3.9892967141703223E-4</v>
      </c>
      <c r="H74" s="41"/>
      <c r="I74" s="41"/>
      <c r="J74" s="41"/>
    </row>
    <row r="75" spans="2:10" s="52" customFormat="1" ht="15">
      <c r="B75" s="31" t="s">
        <v>99</v>
      </c>
      <c r="C75" s="40">
        <f>IF(OR(C72="",C4="",C7=""),"",C72/(C4-C7)/2)</f>
        <v>0.19370386560141123</v>
      </c>
      <c r="D75" s="40" t="str">
        <f>IF(OR(D72="",D4="",D7=""),"",D72/(D4-D7)/2)</f>
        <v/>
      </c>
      <c r="E75" s="40">
        <f>IF(OR(E72="",E4="",E7=""),"",E72/(E4-E7)/2)</f>
        <v>0.1902844337854887</v>
      </c>
      <c r="F75" s="40" t="str">
        <f>IF(OR(F72="",F4="",F7=""),"",F72/(F4-F7)/2)</f>
        <v/>
      </c>
      <c r="G75" s="40">
        <f>IF(OR(G72="",G4="",G7=""),"",G72/(G4-G7)/2)</f>
        <v>0.14216118296238089</v>
      </c>
      <c r="H75" s="41"/>
      <c r="I75" s="41"/>
      <c r="J75" s="41"/>
    </row>
    <row r="76" spans="2:10" s="52" customFormat="1" ht="15"/>
    <row r="77" spans="2:10" ht="24">
      <c r="B77" s="53" t="s">
        <v>100</v>
      </c>
      <c r="C77" s="54" t="s">
        <v>101</v>
      </c>
      <c r="D77" s="54" t="s">
        <v>102</v>
      </c>
      <c r="E77" s="54" t="s">
        <v>105</v>
      </c>
      <c r="F77" s="54" t="s">
        <v>103</v>
      </c>
      <c r="G77" s="54" t="s">
        <v>104</v>
      </c>
      <c r="H77" s="55"/>
      <c r="I77" s="55"/>
      <c r="J77" s="55"/>
    </row>
    <row r="78" spans="2:10" ht="15">
      <c r="B78" s="56" t="s">
        <v>106</v>
      </c>
      <c r="C78" s="57">
        <v>8988</v>
      </c>
      <c r="D78" s="58">
        <v>9.0589999999999993</v>
      </c>
      <c r="E78" s="58">
        <v>10.184480000000001</v>
      </c>
      <c r="F78" s="58">
        <v>4.9539999999999997</v>
      </c>
      <c r="G78" s="58">
        <v>1.0968500000000001</v>
      </c>
      <c r="H78" s="58"/>
      <c r="I78" s="58"/>
      <c r="J78" s="58"/>
    </row>
    <row r="79" spans="2:10" ht="15">
      <c r="B79" s="59" t="s">
        <v>107</v>
      </c>
      <c r="C79" s="60">
        <f>C82+C85</f>
        <v>8462</v>
      </c>
      <c r="D79" s="61">
        <v>8.8360000000000003</v>
      </c>
      <c r="E79" s="61">
        <v>9.9606700000000004</v>
      </c>
      <c r="F79" s="61">
        <v>4.7759999999999998</v>
      </c>
      <c r="G79" s="61">
        <v>0.96355000000000002</v>
      </c>
      <c r="H79" s="61"/>
      <c r="I79" s="61"/>
      <c r="J79" s="61"/>
    </row>
    <row r="80" spans="2:10" s="36" customFormat="1">
      <c r="B80" s="33" t="s">
        <v>108</v>
      </c>
      <c r="C80" s="34">
        <f>C83+C86</f>
        <v>267.07886723507914</v>
      </c>
      <c r="D80" s="34">
        <f>IF(OR(D78="",D79=""),"",D78/D79-1)</f>
        <v>2.5237664101403157E-2</v>
      </c>
      <c r="E80" s="34">
        <f>IF(OR(E78="",E79=""),"",E78/E79-1)</f>
        <v>2.2469372040234248E-2</v>
      </c>
      <c r="F80" s="34">
        <f>IF(OR(F78="",F79=""),"",F78/F79-1)</f>
        <v>3.7269681742043481E-2</v>
      </c>
      <c r="G80" s="34">
        <f>IF(OR(G78="",G79=""),"",G78/G79-1)</f>
        <v>0.13834258730735316</v>
      </c>
      <c r="H80" s="35"/>
      <c r="I80" s="35"/>
      <c r="J80" s="35"/>
    </row>
    <row r="81" spans="2:10" ht="15">
      <c r="B81" s="29" t="s">
        <v>109</v>
      </c>
      <c r="C81" s="57">
        <v>5445</v>
      </c>
      <c r="D81" s="58"/>
      <c r="E81" s="58"/>
      <c r="F81" s="58">
        <v>3.2970000000000002</v>
      </c>
      <c r="G81" s="58"/>
      <c r="H81" s="58"/>
      <c r="I81" s="58"/>
      <c r="J81" s="58"/>
    </row>
    <row r="82" spans="2:10" ht="15">
      <c r="B82" s="31" t="s">
        <v>110</v>
      </c>
      <c r="C82" s="60">
        <v>5178</v>
      </c>
      <c r="D82" s="61"/>
      <c r="E82" s="61"/>
      <c r="F82" s="61">
        <v>3.278</v>
      </c>
      <c r="G82" s="61"/>
      <c r="H82" s="61"/>
      <c r="I82" s="61"/>
      <c r="J82" s="61"/>
    </row>
    <row r="83" spans="2:10" s="36" customFormat="1">
      <c r="B83" s="33" t="s">
        <v>111</v>
      </c>
      <c r="C83" s="62">
        <f>IF(OR(C81="",C82=""),"",C81-C82)</f>
        <v>267</v>
      </c>
      <c r="D83" s="63" t="str">
        <f>IF(OR(D81="",D82=""),"",D81-D82)</f>
        <v/>
      </c>
      <c r="E83" s="63" t="str">
        <f>IF(OR(E81="",E82=""),"",E81-E82)</f>
        <v/>
      </c>
      <c r="F83" s="63">
        <f>IF(OR(F81="",F82=""),"",F81-F82)</f>
        <v>1.9000000000000128E-2</v>
      </c>
      <c r="G83" s="63" t="str">
        <f>IF(OR(G81="",G82=""),"",G81-G82)</f>
        <v/>
      </c>
      <c r="H83" s="35"/>
      <c r="I83" s="35"/>
      <c r="J83" s="35"/>
    </row>
    <row r="84" spans="2:10" ht="15">
      <c r="B84" s="29" t="s">
        <v>112</v>
      </c>
      <c r="C84" s="57">
        <v>3543</v>
      </c>
      <c r="D84" s="58"/>
      <c r="E84" s="58"/>
      <c r="F84" s="58">
        <v>1.657</v>
      </c>
      <c r="G84" s="58"/>
      <c r="H84" s="58"/>
      <c r="I84" s="58"/>
      <c r="J84" s="58"/>
    </row>
    <row r="85" spans="2:10" ht="15">
      <c r="B85" s="31" t="s">
        <v>113</v>
      </c>
      <c r="C85" s="60">
        <v>3284</v>
      </c>
      <c r="D85" s="61"/>
      <c r="E85" s="61"/>
      <c r="F85" s="61">
        <v>1.498</v>
      </c>
      <c r="G85" s="61"/>
      <c r="H85" s="61"/>
      <c r="I85" s="61"/>
      <c r="J85" s="61"/>
    </row>
    <row r="86" spans="2:10" s="36" customFormat="1">
      <c r="B86" s="33" t="s">
        <v>108</v>
      </c>
      <c r="C86" s="34">
        <f>IF(OR(C84="",C85=""),"",C84/C85-1)</f>
        <v>7.8867235079171705E-2</v>
      </c>
      <c r="D86" s="34" t="str">
        <f>IF(OR(D84="",D85=""),"",D84/D85-1)</f>
        <v/>
      </c>
      <c r="E86" s="34" t="str">
        <f>IF(OR(E84="",E85=""),"",E84/E85-1)</f>
        <v/>
      </c>
      <c r="F86" s="34">
        <f>IF(OR(F84="",F85=""),"",F84/F85-1)</f>
        <v>0.10614152202937244</v>
      </c>
      <c r="G86" s="34" t="str">
        <f>IF(OR(G84="",G85=""),"",G84/G85-1)</f>
        <v/>
      </c>
      <c r="H86" s="35"/>
      <c r="I86" s="35"/>
      <c r="J86" s="35"/>
    </row>
    <row r="87" spans="2:10" s="52" customFormat="1" ht="15"/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年报对标数据底表</vt:lpstr>
      <vt:lpstr>年报对标数据底表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顾家珲(gujiahui01)</dc:creator>
  <cp:lastModifiedBy>顾家珲(gujiahui01)</cp:lastModifiedBy>
  <dcterms:created xsi:type="dcterms:W3CDTF">2026-08-26T02:02:00Z</dcterms:created>
  <dcterms:modified xsi:type="dcterms:W3CDTF">2026-08-26T08:33:09Z</dcterms:modified>
</cp:coreProperties>
</file>